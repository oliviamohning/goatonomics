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81CB4\EXCELCNV\5bf4af62-6393-4484-a807-42a923701e4e\"/>
    </mc:Choice>
  </mc:AlternateContent>
  <xr:revisionPtr revIDLastSave="247" documentId="8_{194524A2-D3CA-42F6-8845-ECA9985059FC}" xr6:coauthVersionLast="47" xr6:coauthVersionMax="47" xr10:uidLastSave="{852D76EA-E9A7-49A6-8418-93FCE8A62D4D}"/>
  <bookViews>
    <workbookView xWindow="-60" yWindow="-60" windowWidth="15480" windowHeight="11640" firstSheet="2" activeTab="2" xr2:uid="{E07F8D1E-3E36-48D5-94E1-2A29E95C7B85}"/>
  </bookViews>
  <sheets>
    <sheet name="raw_data" sheetId="2" r:id="rId1"/>
    <sheet name="clean_data" sheetId="1" r:id="rId2"/>
    <sheet name="pivot_tables" sheetId="3" r:id="rId3"/>
    <sheet name="lookup_tables" sheetId="4" r:id="rId4"/>
  </sheets>
  <calcPr calcId="191028"/>
  <pivotCaches>
    <pivotCache cacheId="2558" r:id="rId5"/>
    <pivotCache cacheId="330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</calcChain>
</file>

<file path=xl/sharedStrings.xml><?xml version="1.0" encoding="utf-8"?>
<sst xmlns="http://schemas.openxmlformats.org/spreadsheetml/2006/main" count="2458" uniqueCount="291">
  <si>
    <t>id</t>
  </si>
  <si>
    <t>first_name</t>
  </si>
  <si>
    <t>age</t>
  </si>
  <si>
    <t>gender</t>
  </si>
  <si>
    <t>relationship_status</t>
  </si>
  <si>
    <t>favorite_color</t>
  </si>
  <si>
    <t>astrological_sign</t>
  </si>
  <si>
    <t>farm_of_origin</t>
  </si>
  <si>
    <t>horn_length_cm</t>
  </si>
  <si>
    <t>beard_length_cm</t>
  </si>
  <si>
    <t>coat_condition</t>
  </si>
  <si>
    <t>avg_daily_steps</t>
  </si>
  <si>
    <t>weight_kg</t>
  </si>
  <si>
    <t>bleat_vol_db</t>
  </si>
  <si>
    <t>current_mood</t>
  </si>
  <si>
    <t>naps_per_day</t>
  </si>
  <si>
    <t>fav_activity</t>
  </si>
  <si>
    <t>affiliation</t>
  </si>
  <si>
    <t>num_friends</t>
  </si>
  <si>
    <t>vaccine_status</t>
  </si>
  <si>
    <t>fav_song</t>
  </si>
  <si>
    <t>yearly_income</t>
  </si>
  <si>
    <t>bff</t>
  </si>
  <si>
    <t>nemesis</t>
  </si>
  <si>
    <t>crush_on</t>
  </si>
  <si>
    <t>Maggie</t>
  </si>
  <si>
    <t>Female</t>
  </si>
  <si>
    <t>Single</t>
  </si>
  <si>
    <t>Green</t>
  </si>
  <si>
    <t>Leo</t>
  </si>
  <si>
    <t>North Meadow</t>
  </si>
  <si>
    <t>SOFT</t>
  </si>
  <si>
    <t>grumpy</t>
  </si>
  <si>
    <t>Headbutting</t>
  </si>
  <si>
    <t>Anarchist Climbers</t>
  </si>
  <si>
    <t>Conspiracy Theorist</t>
  </si>
  <si>
    <t>Take on Me</t>
  </si>
  <si>
    <t>Daisy</t>
  </si>
  <si>
    <t>Itâ€™s Complicated</t>
  </si>
  <si>
    <t>Brown</t>
  </si>
  <si>
    <t>Taurus</t>
  </si>
  <si>
    <t>Cliffside Spa</t>
  </si>
  <si>
    <t>SMOOTH</t>
  </si>
  <si>
    <t>hungry</t>
  </si>
  <si>
    <t>Starting Drama</t>
  </si>
  <si>
    <t>Nomadic Yogis</t>
  </si>
  <si>
    <t>Overdue</t>
  </si>
  <si>
    <t>Bohemian Rhapsody</t>
  </si>
  <si>
    <t>Rosie</t>
  </si>
  <si>
    <t>Mated</t>
  </si>
  <si>
    <t>Beige</t>
  </si>
  <si>
    <t>Virgo</t>
  </si>
  <si>
    <t>ROUGH</t>
  </si>
  <si>
    <t>chill</t>
  </si>
  <si>
    <t>Listening to the Wind</t>
  </si>
  <si>
    <t>Chill Grazers</t>
  </si>
  <si>
    <t>Up to Date</t>
  </si>
  <si>
    <t>I Will Always Love Ewe</t>
  </si>
  <si>
    <t>Luna</t>
  </si>
  <si>
    <t>Situationship</t>
  </si>
  <si>
    <t>White</t>
  </si>
  <si>
    <t>Libra</t>
  </si>
  <si>
    <t>Meditating on a Hill</t>
  </si>
  <si>
    <t>Dreams</t>
  </si>
  <si>
    <t>Penny</t>
  </si>
  <si>
    <t>Gray</t>
  </si>
  <si>
    <t>Pisces</t>
  </si>
  <si>
    <t>Abandoned Barn</t>
  </si>
  <si>
    <t>Reorganizing Pebbles</t>
  </si>
  <si>
    <t>Jolene</t>
  </si>
  <si>
    <t>Buck</t>
  </si>
  <si>
    <t>Male</t>
  </si>
  <si>
    <t>Aries</t>
  </si>
  <si>
    <t>COARSE</t>
  </si>
  <si>
    <t>Dominating the Salt Lick</t>
  </si>
  <si>
    <t>Total Eclipse of the Hoof</t>
  </si>
  <si>
    <t>Millie</t>
  </si>
  <si>
    <t>Yellow</t>
  </si>
  <si>
    <t>Chasing Butterflies</t>
  </si>
  <si>
    <t>Hank</t>
  </si>
  <si>
    <t>Sagittarius</t>
  </si>
  <si>
    <t>FLUFFY</t>
  </si>
  <si>
    <t>Chewing Everything</t>
  </si>
  <si>
    <t>Donâ€™t Stop Bleating</t>
  </si>
  <si>
    <t>Gus</t>
  </si>
  <si>
    <t>Tan</t>
  </si>
  <si>
    <t>Aquarius</t>
  </si>
  <si>
    <t>rowdy</t>
  </si>
  <si>
    <t>Practicing Yoga</t>
  </si>
  <si>
    <t>Africa</t>
  </si>
  <si>
    <t>Ruby</t>
  </si>
  <si>
    <t>Artistic Bleating</t>
  </si>
  <si>
    <t>Nellie</t>
  </si>
  <si>
    <t>Mud Pit</t>
  </si>
  <si>
    <t>SPARKLY</t>
  </si>
  <si>
    <t>Screaming at Nothing</t>
  </si>
  <si>
    <t>Charlie</t>
  </si>
  <si>
    <t>enlightened</t>
  </si>
  <si>
    <t>Hotel California</t>
  </si>
  <si>
    <t>Otis</t>
  </si>
  <si>
    <t>Capricorn</t>
  </si>
  <si>
    <t>Wonderwall</t>
  </si>
  <si>
    <t>Hazel</t>
  </si>
  <si>
    <t>Earl</t>
  </si>
  <si>
    <t>Moon Pasture</t>
  </si>
  <si>
    <t>Goat Mafia</t>
  </si>
  <si>
    <t>Bleat It</t>
  </si>
  <si>
    <t>Annie</t>
  </si>
  <si>
    <t>SLEEK</t>
  </si>
  <si>
    <t>Poker Face</t>
  </si>
  <si>
    <t>Clover</t>
  </si>
  <si>
    <t>SILKY</t>
  </si>
  <si>
    <t>Uptown Funk</t>
  </si>
  <si>
    <t>Ralph</t>
  </si>
  <si>
    <t>Napping in Sunlight</t>
  </si>
  <si>
    <t>Fern</t>
  </si>
  <si>
    <t>MUDDY</t>
  </si>
  <si>
    <t>Mr. Brightside</t>
  </si>
  <si>
    <t>Bonnie</t>
  </si>
  <si>
    <t>Livinâ€™ la Vida Loca</t>
  </si>
  <si>
    <t>Joe</t>
  </si>
  <si>
    <t>PATCHY</t>
  </si>
  <si>
    <t>Billie Jean</t>
  </si>
  <si>
    <t>Clyde</t>
  </si>
  <si>
    <t>Baahemian Rhapsody</t>
  </si>
  <si>
    <t>Sam</t>
  </si>
  <si>
    <t>Gemini</t>
  </si>
  <si>
    <t>Stomping on Grass</t>
  </si>
  <si>
    <t>Shake It Off</t>
  </si>
  <si>
    <t>Tucker</t>
  </si>
  <si>
    <t>Olive</t>
  </si>
  <si>
    <t>Mabel</t>
  </si>
  <si>
    <t>Climbing Rocks</t>
  </si>
  <si>
    <t>Sadie</t>
  </si>
  <si>
    <t>Staring Into the Void</t>
  </si>
  <si>
    <t>Josie</t>
  </si>
  <si>
    <t>Wally</t>
  </si>
  <si>
    <t>Stealing Snacks</t>
  </si>
  <si>
    <t>We Will Bleat You</t>
  </si>
  <si>
    <t>Ellie</t>
  </si>
  <si>
    <t>Bo</t>
  </si>
  <si>
    <t>Cancer</t>
  </si>
  <si>
    <t>Abby</t>
  </si>
  <si>
    <t>Juniper</t>
  </si>
  <si>
    <t>Nonbinary</t>
  </si>
  <si>
    <t>Scorpio</t>
  </si>
  <si>
    <t>SHAGGY</t>
  </si>
  <si>
    <t>Frank</t>
  </si>
  <si>
    <t>All the Single Goats</t>
  </si>
  <si>
    <t>Rex</t>
  </si>
  <si>
    <t>Betsy</t>
  </si>
  <si>
    <t>Nash</t>
  </si>
  <si>
    <t>DUSTY</t>
  </si>
  <si>
    <t>Every Bleat You Take</t>
  </si>
  <si>
    <t>Rowan</t>
  </si>
  <si>
    <t>Smells Like Teen Spirit</t>
  </si>
  <si>
    <t>Tom</t>
  </si>
  <si>
    <t>Willow</t>
  </si>
  <si>
    <t>Thunderstruck</t>
  </si>
  <si>
    <t>Harvey</t>
  </si>
  <si>
    <t>Marvin</t>
  </si>
  <si>
    <t>SCRUFFY</t>
  </si>
  <si>
    <t>Stayinâ€™ Afloat</t>
  </si>
  <si>
    <t>Lou</t>
  </si>
  <si>
    <t>Chester</t>
  </si>
  <si>
    <t>Levi</t>
  </si>
  <si>
    <t>Grace</t>
  </si>
  <si>
    <t>Ben</t>
  </si>
  <si>
    <t>Lucy</t>
  </si>
  <si>
    <t>Rat</t>
  </si>
  <si>
    <t>Maisie</t>
  </si>
  <si>
    <t>Curt</t>
  </si>
  <si>
    <t>Dolly</t>
  </si>
  <si>
    <t>Dancing Queen</t>
  </si>
  <si>
    <t>Clay</t>
  </si>
  <si>
    <t>Dottie</t>
  </si>
  <si>
    <t>MUD-SLICK</t>
  </si>
  <si>
    <t>Bill</t>
  </si>
  <si>
    <t>Ruthie</t>
  </si>
  <si>
    <t>Grazing in the Wind</t>
  </si>
  <si>
    <t>Minnie</t>
  </si>
  <si>
    <t>Oscar</t>
  </si>
  <si>
    <t>Finn</t>
  </si>
  <si>
    <t>Moose</t>
  </si>
  <si>
    <t>Existential Crisis</t>
  </si>
  <si>
    <t>Cricket</t>
  </si>
  <si>
    <t>Pickles</t>
  </si>
  <si>
    <t>Gertie</t>
  </si>
  <si>
    <t>Scout</t>
  </si>
  <si>
    <t>Otto</t>
  </si>
  <si>
    <t>Pearl</t>
  </si>
  <si>
    <t>Holly</t>
  </si>
  <si>
    <t>Sunny</t>
  </si>
  <si>
    <t>Ash</t>
  </si>
  <si>
    <t>Robin</t>
  </si>
  <si>
    <t>Sky</t>
  </si>
  <si>
    <t>Stairway to Hayven</t>
  </si>
  <si>
    <t>Waylon</t>
  </si>
  <si>
    <t>Tilly</t>
  </si>
  <si>
    <t>Homer</t>
  </si>
  <si>
    <t>Jill</t>
  </si>
  <si>
    <t>Chip</t>
  </si>
  <si>
    <t>Trucker</t>
  </si>
  <si>
    <t>Bert</t>
  </si>
  <si>
    <t>Sage</t>
  </si>
  <si>
    <t>Darla</t>
  </si>
  <si>
    <t>Plotting Escapes</t>
  </si>
  <si>
    <t>Winston</t>
  </si>
  <si>
    <t>Clint</t>
  </si>
  <si>
    <t>Dean</t>
  </si>
  <si>
    <t>Sweet Caroline</t>
  </si>
  <si>
    <t>Lucas</t>
  </si>
  <si>
    <t>Rainbow</t>
  </si>
  <si>
    <t>FUZZY</t>
  </si>
  <si>
    <t>Honey</t>
  </si>
  <si>
    <t>Lila</t>
  </si>
  <si>
    <t>Donald</t>
  </si>
  <si>
    <t>Tina</t>
  </si>
  <si>
    <t>Roz</t>
  </si>
  <si>
    <t>Wade</t>
  </si>
  <si>
    <t>Grant</t>
  </si>
  <si>
    <t>Gabe</t>
  </si>
  <si>
    <t>Nora</t>
  </si>
  <si>
    <t>Ned</t>
  </si>
  <si>
    <t>Bad Romance</t>
  </si>
  <si>
    <t>Pete</t>
  </si>
  <si>
    <t/>
  </si>
  <si>
    <t>gang_affiliation</t>
  </si>
  <si>
    <t>bff_id</t>
  </si>
  <si>
    <t>nemesis_id</t>
  </si>
  <si>
    <t>crush_on_id</t>
  </si>
  <si>
    <t>happiness_score</t>
  </si>
  <si>
    <t>female</t>
  </si>
  <si>
    <t>single</t>
  </si>
  <si>
    <t>green</t>
  </si>
  <si>
    <t>soft</t>
  </si>
  <si>
    <t>headbutting</t>
  </si>
  <si>
    <t>conspiracy theorist</t>
  </si>
  <si>
    <t>it's complicated</t>
  </si>
  <si>
    <t>brown</t>
  </si>
  <si>
    <t>smooth</t>
  </si>
  <si>
    <t>starting drama</t>
  </si>
  <si>
    <t>overdue</t>
  </si>
  <si>
    <t>mated</t>
  </si>
  <si>
    <t>beige</t>
  </si>
  <si>
    <t>rough</t>
  </si>
  <si>
    <t>listening to the wind</t>
  </si>
  <si>
    <t>up to date</t>
  </si>
  <si>
    <t>situationship</t>
  </si>
  <si>
    <t>white</t>
  </si>
  <si>
    <t>meditating on a hill</t>
  </si>
  <si>
    <t>gray</t>
  </si>
  <si>
    <t>reorganizing pebbles</t>
  </si>
  <si>
    <t>male</t>
  </si>
  <si>
    <t>coarse</t>
  </si>
  <si>
    <t>dominating the salt lick</t>
  </si>
  <si>
    <t>yellow</t>
  </si>
  <si>
    <t>chasing butterflies</t>
  </si>
  <si>
    <t>fluffy</t>
  </si>
  <si>
    <t>chewing everything</t>
  </si>
  <si>
    <t>Don't Stop Bleating</t>
  </si>
  <si>
    <t>tan</t>
  </si>
  <si>
    <t>practicing yoga</t>
  </si>
  <si>
    <t>artistic bleating</t>
  </si>
  <si>
    <t>sparkly</t>
  </si>
  <si>
    <t>screaming at nothing</t>
  </si>
  <si>
    <t>sleek</t>
  </si>
  <si>
    <t>silky</t>
  </si>
  <si>
    <t>napping in sunlight</t>
  </si>
  <si>
    <t>muddy</t>
  </si>
  <si>
    <t>Livin' la Vida Loca</t>
  </si>
  <si>
    <t>patchy</t>
  </si>
  <si>
    <t>stomping on grass</t>
  </si>
  <si>
    <t>climbing rocks</t>
  </si>
  <si>
    <t>staring into the void</t>
  </si>
  <si>
    <t>stealing snacks</t>
  </si>
  <si>
    <t>nonbinary</t>
  </si>
  <si>
    <t>shaggy</t>
  </si>
  <si>
    <t>All the single Goats</t>
  </si>
  <si>
    <t>dusty</t>
  </si>
  <si>
    <t>scruffy</t>
  </si>
  <si>
    <t>Stayin' Afloat</t>
  </si>
  <si>
    <t>mud-slick</t>
  </si>
  <si>
    <t>existential crisis</t>
  </si>
  <si>
    <t>plotting escapes</t>
  </si>
  <si>
    <t>fuzzy</t>
  </si>
  <si>
    <t>Sum of id</t>
  </si>
  <si>
    <t>Grand Total</t>
  </si>
  <si>
    <t>Sum of happiness_score</t>
  </si>
  <si>
    <t>Mood</t>
  </si>
  <si>
    <t>Happiness_Score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</si>
</sst>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[goats_data.xlsx]pivot_tables!PivotTable1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Goat Mood Distribution by Gang Affiliation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pivot_tables!$B$1:$B$2</c:f>
              <c:strCache>
                <c:ptCount val="1"/>
                <c:pt idx="0">
                  <c:v>Anarchist Climbers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pivot_tables!$A$3:$A$8</c:f>
              <c:strCache>
                <c:ptCount val="5"/>
                <c:pt idx="0">
                  <c:v>chill</c:v>
                </c:pt>
                <c:pt idx="1">
                  <c:v>hungry</c:v>
                </c:pt>
                <c:pt idx="2">
                  <c:v>enlightened</c:v>
                </c:pt>
                <c:pt idx="3">
                  <c:v>grumpy</c:v>
                </c:pt>
                <c:pt idx="4">
                  <c:v>rowdy</c:v>
                </c:pt>
              </c:strCache>
            </c:strRef>
          </c:cat>
          <c:val>
            <c:numRef>
              <c:f>pivot_tables!$B$3:$B$8</c:f>
              <c:numCache>
                <c:formatCode>General</c:formatCode>
                <c:ptCount val="5"/>
                <c:pt idx="0">
                  <c:v>360</c:v>
                </c:pt>
                <c:pt idx="1">
                  <c:v>306</c:v>
                </c:pt>
                <c:pt idx="2">
                  <c:v>172</c:v>
                </c:pt>
                <c:pt idx="3">
                  <c:v>226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78-41B4-A296-1CBDC9169E90}"/>
            </c:ext>
          </c:extLst>
        </c:ser>
        <c:ser>
          <c:idx val="1"/>
          <c:order val="1"/>
          <c:tx>
            <c:strRef>
              <c:f>pivot_tables!$C$1:$C$2</c:f>
              <c:strCache>
                <c:ptCount val="1"/>
                <c:pt idx="0">
                  <c:v>Chill Grazers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pivot_tables!$A$3:$A$8</c:f>
              <c:strCache>
                <c:ptCount val="5"/>
                <c:pt idx="0">
                  <c:v>chill</c:v>
                </c:pt>
                <c:pt idx="1">
                  <c:v>hungry</c:v>
                </c:pt>
                <c:pt idx="2">
                  <c:v>enlightened</c:v>
                </c:pt>
                <c:pt idx="3">
                  <c:v>grumpy</c:v>
                </c:pt>
                <c:pt idx="4">
                  <c:v>rowdy</c:v>
                </c:pt>
              </c:strCache>
            </c:strRef>
          </c:cat>
          <c:val>
            <c:numRef>
              <c:f>pivot_tables!$C$3:$C$8</c:f>
              <c:numCache>
                <c:formatCode>General</c:formatCode>
                <c:ptCount val="5"/>
                <c:pt idx="0">
                  <c:v>404</c:v>
                </c:pt>
                <c:pt idx="1">
                  <c:v>424</c:v>
                </c:pt>
                <c:pt idx="2">
                  <c:v>171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78-41B4-A296-1CBDC9169E90}"/>
            </c:ext>
          </c:extLst>
        </c:ser>
        <c:ser>
          <c:idx val="2"/>
          <c:order val="2"/>
          <c:tx>
            <c:strRef>
              <c:f>pivot_tables!$D$1:$D$2</c:f>
              <c:strCache>
                <c:ptCount val="1"/>
                <c:pt idx="0">
                  <c:v>Goat Mafia</c:v>
                </c:pt>
              </c:strCache>
            </c:strRef>
          </c:tx>
          <c:spPr>
            <a:solidFill>
              <a:srgbClr val="AEAA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pivot_tables!$A$3:$A$8</c:f>
              <c:strCache>
                <c:ptCount val="5"/>
                <c:pt idx="0">
                  <c:v>chill</c:v>
                </c:pt>
                <c:pt idx="1">
                  <c:v>hungry</c:v>
                </c:pt>
                <c:pt idx="2">
                  <c:v>enlightened</c:v>
                </c:pt>
                <c:pt idx="3">
                  <c:v>grumpy</c:v>
                </c:pt>
                <c:pt idx="4">
                  <c:v>rowdy</c:v>
                </c:pt>
              </c:strCache>
            </c:strRef>
          </c:cat>
          <c:val>
            <c:numRef>
              <c:f>pivot_tables!$D$3:$D$8</c:f>
              <c:numCache>
                <c:formatCode>General</c:formatCode>
                <c:ptCount val="5"/>
                <c:pt idx="0">
                  <c:v>105</c:v>
                </c:pt>
                <c:pt idx="1">
                  <c:v>94</c:v>
                </c:pt>
                <c:pt idx="2">
                  <c:v>432</c:v>
                </c:pt>
                <c:pt idx="3">
                  <c:v>238</c:v>
                </c:pt>
                <c:pt idx="4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78-41B4-A296-1CBDC9169E90}"/>
            </c:ext>
          </c:extLst>
        </c:ser>
        <c:ser>
          <c:idx val="3"/>
          <c:order val="3"/>
          <c:tx>
            <c:strRef>
              <c:f>pivot_tables!$E$1:$E$2</c:f>
              <c:strCache>
                <c:ptCount val="1"/>
                <c:pt idx="0">
                  <c:v>Nomadic Yogis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pivot_tables!$A$3:$A$8</c:f>
              <c:strCache>
                <c:ptCount val="5"/>
                <c:pt idx="0">
                  <c:v>chill</c:v>
                </c:pt>
                <c:pt idx="1">
                  <c:v>hungry</c:v>
                </c:pt>
                <c:pt idx="2">
                  <c:v>enlightened</c:v>
                </c:pt>
                <c:pt idx="3">
                  <c:v>grumpy</c:v>
                </c:pt>
                <c:pt idx="4">
                  <c:v>rowdy</c:v>
                </c:pt>
              </c:strCache>
            </c:strRef>
          </c:cat>
          <c:val>
            <c:numRef>
              <c:f>pivot_tables!$E$3:$E$8</c:f>
              <c:numCache>
                <c:formatCode>General</c:formatCode>
                <c:ptCount val="5"/>
                <c:pt idx="0">
                  <c:v>393</c:v>
                </c:pt>
                <c:pt idx="1">
                  <c:v>261</c:v>
                </c:pt>
                <c:pt idx="2">
                  <c:v>241</c:v>
                </c:pt>
                <c:pt idx="3">
                  <c:v>118</c:v>
                </c:pt>
                <c:pt idx="4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378-41B4-A296-1CBDC9169E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-30"/>
        <c:axId val="1091481095"/>
        <c:axId val="20428808"/>
      </c:barChart>
      <c:catAx>
        <c:axId val="1091481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Mood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808"/>
        <c:crosses val="autoZero"/>
        <c:auto val="1"/>
        <c:lblAlgn val="ctr"/>
        <c:lblOffset val="100"/>
        <c:noMultiLvlLbl val="0"/>
      </c:catAx>
      <c:valAx>
        <c:axId val="2042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Goats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81095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[goats_data.xlsx]pivot_tables!PivotTable2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Happiness Score by Gang Affiliation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pivot_tables!$A$11:$A$15</c:f>
              <c:strCache>
                <c:ptCount val="4"/>
                <c:pt idx="0">
                  <c:v>Anarchist Climbers</c:v>
                </c:pt>
                <c:pt idx="1">
                  <c:v>Chill Grazers</c:v>
                </c:pt>
                <c:pt idx="2">
                  <c:v>Goat Mafia</c:v>
                </c:pt>
                <c:pt idx="3">
                  <c:v>Nomadic Yogis</c:v>
                </c:pt>
              </c:strCache>
            </c:strRef>
          </c:cat>
          <c:val>
            <c:numRef>
              <c:f>pivot_tables!$B$11:$B$15</c:f>
              <c:numCache>
                <c:formatCode>General</c:formatCode>
                <c:ptCount val="4"/>
                <c:pt idx="0">
                  <c:v>1645</c:v>
                </c:pt>
                <c:pt idx="1">
                  <c:v>1400</c:v>
                </c:pt>
                <c:pt idx="2">
                  <c:v>1275</c:v>
                </c:pt>
                <c:pt idx="3">
                  <c:v>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DE-418B-A543-216DC63A9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05599751"/>
        <c:axId val="2005601799"/>
      </c:barChart>
      <c:catAx>
        <c:axId val="2005599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Gang Affiliation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601799"/>
        <c:crosses val="autoZero"/>
        <c:auto val="1"/>
        <c:lblAlgn val="ctr"/>
        <c:lblOffset val="100"/>
        <c:noMultiLvlLbl val="0"/>
      </c:catAx>
      <c:valAx>
        <c:axId val="2005601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599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0</xdr:row>
      <xdr:rowOff>0</xdr:rowOff>
    </xdr:from>
    <xdr:to>
      <xdr:col>15</xdr:col>
      <xdr:colOff>476250</xdr:colOff>
      <xdr:row>15</xdr:row>
      <xdr:rowOff>180975</xdr:rowOff>
    </xdr:to>
    <xdr:graphicFrame macro="">
      <xdr:nvGraphicFramePr>
        <xdr:cNvPr id="2" name="Chart 1" descr="Chart type: Clustered Column. 'id' by 'current_mood' and 'gang_affiliation'&#10;&#10;Description automatically generated">
          <a:extLst>
            <a:ext uri="{FF2B5EF4-FFF2-40B4-BE49-F238E27FC236}">
              <a16:creationId xmlns:a16="http://schemas.microsoft.com/office/drawing/2014/main" id="{AEEA1629-F994-A32F-AF50-FF07586F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180975</xdr:colOff>
      <xdr:row>16</xdr:row>
      <xdr:rowOff>76200</xdr:rowOff>
    </xdr:from>
    <xdr:to>
      <xdr:col>13</xdr:col>
      <xdr:colOff>485775</xdr:colOff>
      <xdr:row>30</xdr:row>
      <xdr:rowOff>152400</xdr:rowOff>
    </xdr:to>
    <xdr:graphicFrame macro="">
      <xdr:nvGraphicFramePr>
        <xdr:cNvPr id="3" name="Chart 2" descr="Chart type: Clustered Column. 'happiness_score' by 'gang_affiliation'&#10;&#10;Description automatically generated">
          <a:extLst>
            <a:ext uri="{FF2B5EF4-FFF2-40B4-BE49-F238E27FC236}">
              <a16:creationId xmlns:a16="http://schemas.microsoft.com/office/drawing/2014/main" id="{5721BD18-BEB3-2BB7-6815-9482B876B11F}"/>
            </a:ext>
            <a:ext uri="{147F2762-F138-4A5C-976F-8EAC2B608ADB}">
              <a16:predDERef xmlns:a16="http://schemas.microsoft.com/office/drawing/2014/main" pred="{AEEA1629-F994-A32F-AF50-FF07586F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7.379149189816" createdVersion="8" refreshedVersion="8" minRefreshableVersion="3" recordCount="99" xr:uid="{A8E7BB9D-BE87-4BD8-9C66-E17F2CB1A4F0}">
  <cacheSource type="worksheet">
    <worksheetSource ref="A1:Y100" sheet="clean_data"/>
  </cacheSource>
  <cacheFields count="25">
    <cacheField name="id" numFmtId="0">
      <sharedItems containsSemiMixedTypes="0" containsString="0" containsNumber="1" containsInteger="1" minValue="1" maxValue="99"/>
    </cacheField>
    <cacheField name="first_name" numFmtId="0">
      <sharedItems/>
    </cacheField>
    <cacheField name="age" numFmtId="0">
      <sharedItems containsSemiMixedTypes="0" containsString="0" containsNumber="1" containsInteger="1" minValue="1" maxValue="18"/>
    </cacheField>
    <cacheField name="gender" numFmtId="0">
      <sharedItems/>
    </cacheField>
    <cacheField name="relationship_status" numFmtId="0">
      <sharedItems/>
    </cacheField>
    <cacheField name="favorite_color" numFmtId="0">
      <sharedItems/>
    </cacheField>
    <cacheField name="astrological_sign" numFmtId="0">
      <sharedItems/>
    </cacheField>
    <cacheField name="farm_of_origin" numFmtId="0">
      <sharedItems/>
    </cacheField>
    <cacheField name="horn_length_cm" numFmtId="0">
      <sharedItems containsSemiMixedTypes="0" containsString="0" containsNumber="1" minValue="1.25" maxValue="44.62"/>
    </cacheField>
    <cacheField name="beard_length_cm" numFmtId="0">
      <sharedItems containsSemiMixedTypes="0" containsString="0" containsNumber="1" minValue="7.0000000000000007E-2" maxValue="24.61"/>
    </cacheField>
    <cacheField name="coat_condition" numFmtId="0">
      <sharedItems/>
    </cacheField>
    <cacheField name="avg_daily_steps" numFmtId="0">
      <sharedItems containsSemiMixedTypes="0" containsString="0" containsNumber="1" containsInteger="1" minValue="633" maxValue="14934"/>
    </cacheField>
    <cacheField name="weight_kg" numFmtId="0">
      <sharedItems containsSemiMixedTypes="0" containsString="0" containsNumber="1" containsInteger="1" minValue="20" maxValue="119"/>
    </cacheField>
    <cacheField name="bleat_vol_db" numFmtId="0">
      <sharedItems containsSemiMixedTypes="0" containsString="0" containsNumber="1" containsInteger="1" minValue="61" maxValue="158"/>
    </cacheField>
    <cacheField name="current_mood" numFmtId="0">
      <sharedItems count="5">
        <s v="grumpy"/>
        <s v="hungry"/>
        <s v="chill"/>
        <s v="rowdy"/>
        <s v="calm"/>
      </sharedItems>
    </cacheField>
    <cacheField name="naps_per_day" numFmtId="0">
      <sharedItems containsSemiMixedTypes="0" containsString="0" containsNumber="1" containsInteger="1" minValue="0" maxValue="12"/>
    </cacheField>
    <cacheField name="fav_activity" numFmtId="0">
      <sharedItems/>
    </cacheField>
    <cacheField name="gang_affiliation" numFmtId="0">
      <sharedItems count="4">
        <s v="Anarchist Climbers"/>
        <s v="Nomadic Yogis"/>
        <s v="Chill Grazers"/>
        <s v="Goat Mafia"/>
      </sharedItems>
    </cacheField>
    <cacheField name="num_friends" numFmtId="0">
      <sharedItems containsSemiMixedTypes="0" containsString="0" containsNumber="1" containsInteger="1" minValue="0" maxValue="99"/>
    </cacheField>
    <cacheField name="vaccine_status" numFmtId="0">
      <sharedItems/>
    </cacheField>
    <cacheField name="fav_song" numFmtId="0">
      <sharedItems/>
    </cacheField>
    <cacheField name="yearly_income" numFmtId="0">
      <sharedItems containsSemiMixedTypes="0" containsString="0" containsNumber="1" containsInteger="1" minValue="735" maxValue="99242"/>
    </cacheField>
    <cacheField name="bff_id" numFmtId="0">
      <sharedItems containsSemiMixedTypes="0" containsString="0" containsNumber="1" containsInteger="1" minValue="1" maxValue="99"/>
    </cacheField>
    <cacheField name="nemesis_id" numFmtId="0">
      <sharedItems containsSemiMixedTypes="0" containsString="0" containsNumber="1" containsInteger="1" minValue="1" maxValue="99"/>
    </cacheField>
    <cacheField name="crush_on_id" numFmtId="0">
      <sharedItems containsSemiMixedTypes="0" containsString="0" containsNumber="1" containsInteger="1" minValue="1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7.616345486109" createdVersion="8" refreshedVersion="8" minRefreshableVersion="3" recordCount="99" xr:uid="{F802C8D1-5851-4FE4-BD10-19E1AB0A2094}">
  <cacheSource type="worksheet">
    <worksheetSource name="Table1"/>
  </cacheSource>
  <cacheFields count="26">
    <cacheField name="id" numFmtId="0">
      <sharedItems containsSemiMixedTypes="0" containsString="0" containsNumber="1" containsInteger="1" minValue="1" maxValue="99"/>
    </cacheField>
    <cacheField name="first_name" numFmtId="0">
      <sharedItems/>
    </cacheField>
    <cacheField name="age" numFmtId="0">
      <sharedItems containsSemiMixedTypes="0" containsString="0" containsNumber="1" containsInteger="1" minValue="1" maxValue="18"/>
    </cacheField>
    <cacheField name="gender" numFmtId="0">
      <sharedItems/>
    </cacheField>
    <cacheField name="relationship_status" numFmtId="0">
      <sharedItems/>
    </cacheField>
    <cacheField name="favorite_color" numFmtId="0">
      <sharedItems/>
    </cacheField>
    <cacheField name="astrological_sign" numFmtId="0">
      <sharedItems/>
    </cacheField>
    <cacheField name="farm_of_origin" numFmtId="0">
      <sharedItems/>
    </cacheField>
    <cacheField name="horn_length_cm" numFmtId="0">
      <sharedItems containsSemiMixedTypes="0" containsString="0" containsNumber="1" minValue="1.25" maxValue="44.62"/>
    </cacheField>
    <cacheField name="beard_length_cm" numFmtId="0">
      <sharedItems containsSemiMixedTypes="0" containsString="0" containsNumber="1" minValue="7.0000000000000007E-2" maxValue="24.61"/>
    </cacheField>
    <cacheField name="coat_condition" numFmtId="0">
      <sharedItems/>
    </cacheField>
    <cacheField name="avg_daily_steps" numFmtId="0">
      <sharedItems containsSemiMixedTypes="0" containsString="0" containsNumber="1" containsInteger="1" minValue="633" maxValue="14934"/>
    </cacheField>
    <cacheField name="weight_kg" numFmtId="0">
      <sharedItems containsSemiMixedTypes="0" containsString="0" containsNumber="1" containsInteger="1" minValue="20" maxValue="119"/>
    </cacheField>
    <cacheField name="bleat_vol_db" numFmtId="0">
      <sharedItems containsSemiMixedTypes="0" containsString="0" containsNumber="1" containsInteger="1" minValue="61" maxValue="158"/>
    </cacheField>
    <cacheField name="current_mood" numFmtId="0">
      <sharedItems count="5">
        <s v="grumpy"/>
        <s v="hungry"/>
        <s v="chill"/>
        <s v="rowdy"/>
        <s v="enlightened"/>
      </sharedItems>
    </cacheField>
    <cacheField name="naps_per_day" numFmtId="0">
      <sharedItems containsSemiMixedTypes="0" containsString="0" containsNumber="1" containsInteger="1" minValue="0" maxValue="12"/>
    </cacheField>
    <cacheField name="fav_activity" numFmtId="0">
      <sharedItems/>
    </cacheField>
    <cacheField name="gang_affiliation" numFmtId="0">
      <sharedItems count="4">
        <s v="Anarchist Climbers"/>
        <s v="Nomadic Yogis"/>
        <s v="Chill Grazers"/>
        <s v="Goat Mafia"/>
      </sharedItems>
    </cacheField>
    <cacheField name="num_friends" numFmtId="0">
      <sharedItems containsSemiMixedTypes="0" containsString="0" containsNumber="1" containsInteger="1" minValue="0" maxValue="99" count="64">
        <n v="31"/>
        <n v="53"/>
        <n v="44"/>
        <n v="13"/>
        <n v="12"/>
        <n v="71"/>
        <n v="7"/>
        <n v="29"/>
        <n v="11"/>
        <n v="79"/>
        <n v="5"/>
        <n v="59"/>
        <n v="75"/>
        <n v="60"/>
        <n v="51"/>
        <n v="86"/>
        <n v="56"/>
        <n v="8"/>
        <n v="1"/>
        <n v="26"/>
        <n v="61"/>
        <n v="85"/>
        <n v="33"/>
        <n v="50"/>
        <n v="3"/>
        <n v="18"/>
        <n v="74"/>
        <n v="45"/>
        <n v="2"/>
        <n v="55"/>
        <n v="20"/>
        <n v="38"/>
        <n v="87"/>
        <n v="93"/>
        <n v="62"/>
        <n v="24"/>
        <n v="91"/>
        <n v="73"/>
        <n v="49"/>
        <n v="32"/>
        <n v="80"/>
        <n v="99"/>
        <n v="68"/>
        <n v="65"/>
        <n v="41"/>
        <n v="28"/>
        <n v="10"/>
        <n v="17"/>
        <n v="72"/>
        <n v="19"/>
        <n v="23"/>
        <n v="37"/>
        <n v="9"/>
        <n v="30"/>
        <n v="15"/>
        <n v="69"/>
        <n v="0"/>
        <n v="64"/>
        <n v="21"/>
        <n v="57"/>
        <n v="82"/>
        <n v="77"/>
        <n v="48"/>
        <n v="96"/>
      </sharedItems>
    </cacheField>
    <cacheField name="vaccine_status" numFmtId="0">
      <sharedItems count="3">
        <s v="conspiracy theorist"/>
        <s v="overdue"/>
        <s v="up to date"/>
      </sharedItems>
    </cacheField>
    <cacheField name="fav_song" numFmtId="0">
      <sharedItems/>
    </cacheField>
    <cacheField name="yearly_income" numFmtId="0">
      <sharedItems containsSemiMixedTypes="0" containsString="0" containsNumber="1" containsInteger="1" minValue="735" maxValue="99242"/>
    </cacheField>
    <cacheField name="bff_id" numFmtId="0">
      <sharedItems containsSemiMixedTypes="0" containsString="0" containsNumber="1" containsInteger="1" minValue="1" maxValue="99"/>
    </cacheField>
    <cacheField name="nemesis_id" numFmtId="0">
      <sharedItems containsSemiMixedTypes="0" containsString="0" containsNumber="1" containsInteger="1" minValue="1" maxValue="99"/>
    </cacheField>
    <cacheField name="crush_on_id" numFmtId="0">
      <sharedItems containsSemiMixedTypes="0" containsString="0" containsNumber="1" containsInteger="1" minValue="1" maxValue="97"/>
    </cacheField>
    <cacheField name="happiness_score" numFmtId="0">
      <sharedItems containsSemiMixedTypes="0" containsString="0" containsNumber="1" containsInteger="1" minValue="3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s v="Maggie"/>
    <n v="11"/>
    <s v="female"/>
    <s v="single"/>
    <s v="green"/>
    <s v="Leo"/>
    <s v="North Meadow"/>
    <n v="7.2"/>
    <n v="7.0000000000000007E-2"/>
    <s v="soft"/>
    <n v="11000"/>
    <n v="77"/>
    <n v="127"/>
    <x v="0"/>
    <n v="8"/>
    <s v="headbutting"/>
    <x v="0"/>
    <n v="31"/>
    <s v="conspiracy theorist"/>
    <s v="Take on Me"/>
    <n v="27733"/>
    <n v="62"/>
    <n v="55"/>
    <n v="85"/>
  </r>
  <r>
    <n v="2"/>
    <s v="Daisy"/>
    <n v="5"/>
    <s v="female"/>
    <s v="it's complicated"/>
    <s v="brown"/>
    <s v="Taurus"/>
    <s v="Cliffside Spa"/>
    <n v="31.48"/>
    <n v="14.33"/>
    <s v="smooth"/>
    <n v="6344"/>
    <n v="62"/>
    <n v="101"/>
    <x v="1"/>
    <n v="9"/>
    <s v="starting drama"/>
    <x v="1"/>
    <n v="53"/>
    <s v="overdue"/>
    <s v="Bohemian Rhapsody"/>
    <n v="94385"/>
    <n v="59"/>
    <n v="63"/>
    <n v="1"/>
  </r>
  <r>
    <n v="3"/>
    <s v="Rosie"/>
    <n v="14"/>
    <s v="female"/>
    <s v="mated"/>
    <s v="beige"/>
    <s v="Virgo"/>
    <s v="North Meadow"/>
    <n v="15.96"/>
    <n v="13.37"/>
    <s v="rough"/>
    <n v="633"/>
    <n v="72"/>
    <n v="140"/>
    <x v="2"/>
    <n v="11"/>
    <s v="listening to the wind"/>
    <x v="2"/>
    <n v="44"/>
    <s v="up to date"/>
    <s v="I Will Always Love Ewe"/>
    <n v="35434"/>
    <n v="41"/>
    <n v="16"/>
    <n v="17"/>
  </r>
  <r>
    <n v="4"/>
    <s v="Luna"/>
    <n v="10"/>
    <s v="female"/>
    <s v="situationship"/>
    <s v="white"/>
    <s v="Libra"/>
    <s v="Cliffside Spa"/>
    <n v="22.81"/>
    <n v="2.5299999999999998"/>
    <s v="smooth"/>
    <n v="1213"/>
    <n v="73"/>
    <n v="79"/>
    <x v="1"/>
    <n v="6"/>
    <s v="meditating on a hill"/>
    <x v="2"/>
    <n v="13"/>
    <s v="up to date"/>
    <s v="Dreams"/>
    <n v="22975"/>
    <n v="20"/>
    <n v="52"/>
    <n v="31"/>
  </r>
  <r>
    <n v="5"/>
    <s v="Penny"/>
    <n v="18"/>
    <s v="female"/>
    <s v="mated"/>
    <s v="gray"/>
    <s v="Pisces"/>
    <s v="Abandoned Barn"/>
    <n v="41.17"/>
    <n v="3.9"/>
    <s v="smooth"/>
    <n v="7753"/>
    <n v="75"/>
    <n v="89"/>
    <x v="0"/>
    <n v="12"/>
    <s v="reorganizing pebbles"/>
    <x v="0"/>
    <n v="12"/>
    <s v="up to date"/>
    <s v="Jolene"/>
    <n v="8905"/>
    <n v="42"/>
    <n v="2"/>
    <n v="59"/>
  </r>
  <r>
    <n v="6"/>
    <s v="Buck"/>
    <n v="12"/>
    <s v="male"/>
    <s v="mated"/>
    <s v="green"/>
    <s v="Aries"/>
    <s v="North Meadow"/>
    <n v="22.12"/>
    <n v="11.57"/>
    <s v="coarse"/>
    <n v="7301"/>
    <n v="65"/>
    <n v="65"/>
    <x v="0"/>
    <n v="0"/>
    <s v="dominating the salt lick"/>
    <x v="2"/>
    <n v="12"/>
    <s v="overdue"/>
    <s v="Total Eclipse of the Hoof"/>
    <n v="6350"/>
    <n v="6"/>
    <n v="93"/>
    <n v="50"/>
  </r>
  <r>
    <n v="7"/>
    <s v="Millie"/>
    <n v="2"/>
    <s v="female"/>
    <s v="it's complicated"/>
    <s v="yellow"/>
    <s v="Virgo"/>
    <s v="Abandoned Barn"/>
    <n v="34.65"/>
    <n v="23.22"/>
    <s v="soft"/>
    <n v="1391"/>
    <n v="103"/>
    <n v="67"/>
    <x v="2"/>
    <n v="12"/>
    <s v="chasing butterflies"/>
    <x v="2"/>
    <n v="71"/>
    <s v="up to date"/>
    <s v="Bohemian Rhapsody"/>
    <n v="87306"/>
    <n v="69"/>
    <n v="69"/>
    <n v="54"/>
  </r>
  <r>
    <n v="8"/>
    <s v="Hank"/>
    <n v="13"/>
    <s v="male"/>
    <s v="mated"/>
    <s v="brown"/>
    <s v="Sagittarius"/>
    <s v="Cliffside Spa"/>
    <n v="30.28"/>
    <n v="0.78"/>
    <s v="fluffy"/>
    <n v="8975"/>
    <n v="80"/>
    <n v="154"/>
    <x v="1"/>
    <n v="7"/>
    <s v="chewing everything"/>
    <x v="2"/>
    <n v="7"/>
    <s v="overdue"/>
    <s v="Don't Stop Bleating"/>
    <n v="25803"/>
    <n v="12"/>
    <n v="60"/>
    <n v="42"/>
  </r>
  <r>
    <n v="9"/>
    <s v="Gus"/>
    <n v="7"/>
    <s v="male"/>
    <s v="mated"/>
    <s v="tan"/>
    <s v="Aquarius"/>
    <s v="North Meadow"/>
    <n v="32.83"/>
    <n v="12.71"/>
    <s v="coarse"/>
    <n v="2923"/>
    <n v="30"/>
    <n v="139"/>
    <x v="3"/>
    <n v="11"/>
    <s v="practicing yoga"/>
    <x v="1"/>
    <n v="29"/>
    <s v="conspiracy theorist"/>
    <s v="Africa"/>
    <n v="31274"/>
    <n v="18"/>
    <n v="26"/>
    <n v="43"/>
  </r>
  <r>
    <n v="10"/>
    <s v="Ruby"/>
    <n v="11"/>
    <s v="female"/>
    <s v="mated"/>
    <s v="green"/>
    <s v="Virgo"/>
    <s v="Cliffside Spa"/>
    <n v="15.39"/>
    <n v="19.09"/>
    <s v="smooth"/>
    <n v="14934"/>
    <n v="59"/>
    <n v="91"/>
    <x v="1"/>
    <n v="1"/>
    <s v="artistic bleating"/>
    <x v="0"/>
    <n v="11"/>
    <s v="conspiracy theorist"/>
    <s v="Total Eclipse of the Hoof"/>
    <n v="70834"/>
    <n v="85"/>
    <n v="15"/>
    <n v="79"/>
  </r>
  <r>
    <n v="11"/>
    <s v="Nellie"/>
    <n v="11"/>
    <s v="female"/>
    <s v="mated"/>
    <s v="white"/>
    <s v="Taurus"/>
    <s v="Mud Pit"/>
    <n v="2.96"/>
    <n v="24.61"/>
    <s v="sparkly"/>
    <n v="1697"/>
    <n v="40"/>
    <n v="137"/>
    <x v="0"/>
    <n v="5"/>
    <s v="screaming at nothing"/>
    <x v="0"/>
    <n v="79"/>
    <s v="conspiracy theorist"/>
    <s v="Africa"/>
    <n v="64929"/>
    <n v="41"/>
    <n v="40"/>
    <n v="28"/>
  </r>
  <r>
    <n v="12"/>
    <s v="Charlie"/>
    <n v="14"/>
    <s v="male"/>
    <s v="it's complicated"/>
    <s v="gray"/>
    <s v="Virgo"/>
    <s v="Mud Pit"/>
    <n v="35.979999999999997"/>
    <n v="13.21"/>
    <s v="smooth"/>
    <n v="6711"/>
    <n v="117"/>
    <n v="131"/>
    <x v="4"/>
    <n v="0"/>
    <s v="headbutting"/>
    <x v="0"/>
    <n v="5"/>
    <s v="conspiracy theorist"/>
    <s v="Hotel California"/>
    <n v="31713"/>
    <n v="94"/>
    <n v="85"/>
    <n v="71"/>
  </r>
  <r>
    <n v="13"/>
    <s v="Otis"/>
    <n v="13"/>
    <s v="male"/>
    <s v="mated"/>
    <s v="brown"/>
    <s v="Capricorn"/>
    <s v="Cliffside Spa"/>
    <n v="3.62"/>
    <n v="14.91"/>
    <s v="soft"/>
    <n v="2159"/>
    <n v="91"/>
    <n v="63"/>
    <x v="2"/>
    <n v="6"/>
    <s v="starting drama"/>
    <x v="0"/>
    <n v="59"/>
    <s v="conspiracy theorist"/>
    <s v="Wonderwall"/>
    <n v="88486"/>
    <n v="80"/>
    <n v="55"/>
    <n v="24"/>
  </r>
  <r>
    <n v="14"/>
    <s v="Hazel"/>
    <n v="15"/>
    <s v="female"/>
    <s v="mated"/>
    <s v="green"/>
    <s v="Aquarius"/>
    <s v="Abandoned Barn"/>
    <n v="5.65"/>
    <n v="3.14"/>
    <s v="fluffy"/>
    <n v="14150"/>
    <n v="22"/>
    <n v="121"/>
    <x v="2"/>
    <n v="8"/>
    <s v="screaming at nothing"/>
    <x v="1"/>
    <n v="75"/>
    <s v="up to date"/>
    <s v="Dreams"/>
    <n v="76260"/>
    <n v="2"/>
    <n v="79"/>
    <n v="15"/>
  </r>
  <r>
    <n v="15"/>
    <s v="Earl"/>
    <n v="16"/>
    <s v="male"/>
    <s v="it's complicated"/>
    <s v="yellow"/>
    <s v="Aries"/>
    <s v="Moon Pasture"/>
    <n v="17.29"/>
    <n v="14.57"/>
    <s v="coarse"/>
    <n v="4814"/>
    <n v="77"/>
    <n v="153"/>
    <x v="2"/>
    <n v="2"/>
    <s v="reorganizing pebbles"/>
    <x v="3"/>
    <n v="60"/>
    <s v="up to date"/>
    <s v="Bleat It"/>
    <n v="77716"/>
    <n v="35"/>
    <n v="55"/>
    <n v="39"/>
  </r>
  <r>
    <n v="16"/>
    <s v="Annie"/>
    <n v="8"/>
    <s v="female"/>
    <s v="it's complicated"/>
    <s v="gray"/>
    <s v="Sagittarius"/>
    <s v="Abandoned Barn"/>
    <n v="16.350000000000001"/>
    <n v="14.77"/>
    <s v="sleek"/>
    <n v="9860"/>
    <n v="55"/>
    <n v="136"/>
    <x v="3"/>
    <n v="8"/>
    <s v="chewing everything"/>
    <x v="1"/>
    <n v="53"/>
    <s v="overdue"/>
    <s v="Poker Face"/>
    <n v="22291"/>
    <n v="42"/>
    <n v="83"/>
    <n v="83"/>
  </r>
  <r>
    <n v="17"/>
    <s v="Clover"/>
    <n v="12"/>
    <s v="female"/>
    <s v="mated"/>
    <s v="green"/>
    <s v="Leo"/>
    <s v="North Meadow"/>
    <n v="7.09"/>
    <n v="2.6"/>
    <s v="silky"/>
    <n v="10172"/>
    <n v="58"/>
    <n v="114"/>
    <x v="2"/>
    <n v="4"/>
    <s v="practicing yoga"/>
    <x v="0"/>
    <n v="51"/>
    <s v="overdue"/>
    <s v="Uptown Funk"/>
    <n v="69408"/>
    <n v="23"/>
    <n v="34"/>
    <n v="20"/>
  </r>
  <r>
    <n v="18"/>
    <s v="Ralph"/>
    <n v="1"/>
    <s v="male"/>
    <s v="single"/>
    <s v="brown"/>
    <s v="Taurus"/>
    <s v="Abandoned Barn"/>
    <n v="12.67"/>
    <n v="1.98"/>
    <s v="smooth"/>
    <n v="1646"/>
    <n v="77"/>
    <n v="125"/>
    <x v="2"/>
    <n v="3"/>
    <s v="napping in sunlight"/>
    <x v="3"/>
    <n v="11"/>
    <s v="overdue"/>
    <s v="Take on Me"/>
    <n v="61575"/>
    <n v="18"/>
    <n v="39"/>
    <n v="28"/>
  </r>
  <r>
    <n v="19"/>
    <s v="Fern"/>
    <n v="3"/>
    <s v="female"/>
    <s v="it's complicated"/>
    <s v="white"/>
    <s v="Aries"/>
    <s v="North Meadow"/>
    <n v="18.440000000000001"/>
    <n v="1.68"/>
    <s v="muddy"/>
    <n v="3671"/>
    <n v="82"/>
    <n v="95"/>
    <x v="0"/>
    <n v="4"/>
    <s v="chewing everything"/>
    <x v="1"/>
    <n v="86"/>
    <s v="up to date"/>
    <s v="Mr. Brightside"/>
    <n v="86575"/>
    <n v="95"/>
    <n v="61"/>
    <n v="47"/>
  </r>
  <r>
    <n v="20"/>
    <s v="Bonnie"/>
    <n v="1"/>
    <s v="female"/>
    <s v="it's complicated"/>
    <s v="green"/>
    <s v="Aries"/>
    <s v="Cliffside Spa"/>
    <n v="10.59"/>
    <n v="7.49"/>
    <s v="coarse"/>
    <n v="12823"/>
    <n v="51"/>
    <n v="108"/>
    <x v="0"/>
    <n v="10"/>
    <s v="practicing yoga"/>
    <x v="0"/>
    <n v="86"/>
    <s v="overdue"/>
    <s v="Livin' la Vida Loca"/>
    <n v="79867"/>
    <n v="29"/>
    <n v="63"/>
    <n v="41"/>
  </r>
  <r>
    <n v="21"/>
    <s v="Joe"/>
    <n v="5"/>
    <s v="male"/>
    <s v="it's complicated"/>
    <s v="yellow"/>
    <s v="Aries"/>
    <s v="Mud Pit"/>
    <n v="21.48"/>
    <n v="0.35"/>
    <s v="patchy"/>
    <n v="4161"/>
    <n v="39"/>
    <n v="116"/>
    <x v="2"/>
    <n v="5"/>
    <s v="reorganizing pebbles"/>
    <x v="0"/>
    <n v="56"/>
    <s v="up to date"/>
    <s v="Billie Jean"/>
    <n v="23177"/>
    <n v="10"/>
    <n v="22"/>
    <n v="80"/>
  </r>
  <r>
    <n v="22"/>
    <s v="Clyde"/>
    <n v="8"/>
    <s v="male"/>
    <s v="it's complicated"/>
    <s v="brown"/>
    <s v="Aries"/>
    <s v="Moon Pasture"/>
    <n v="23.81"/>
    <n v="2.4"/>
    <s v="soft"/>
    <n v="9076"/>
    <n v="98"/>
    <n v="114"/>
    <x v="1"/>
    <n v="10"/>
    <s v="screaming at nothing"/>
    <x v="0"/>
    <n v="53"/>
    <s v="overdue"/>
    <s v="Baahemian Rhapsody"/>
    <n v="72834"/>
    <n v="73"/>
    <n v="44"/>
    <n v="68"/>
  </r>
  <r>
    <n v="23"/>
    <s v="Sam"/>
    <n v="13"/>
    <s v="male"/>
    <s v="mated"/>
    <s v="green"/>
    <s v="Gemini"/>
    <s v="Moon Pasture"/>
    <n v="28.06"/>
    <n v="22.89"/>
    <s v="sleek"/>
    <n v="13723"/>
    <n v="37"/>
    <n v="134"/>
    <x v="1"/>
    <n v="3"/>
    <s v="stomping on grass"/>
    <x v="0"/>
    <n v="8"/>
    <s v="overdue"/>
    <s v="Shake It Off"/>
    <n v="735"/>
    <n v="99"/>
    <n v="3"/>
    <n v="53"/>
  </r>
  <r>
    <n v="24"/>
    <s v="Tucker"/>
    <n v="15"/>
    <s v="male"/>
    <s v="mated"/>
    <s v="gray"/>
    <s v="Libra"/>
    <s v="Abandoned Barn"/>
    <n v="18.16"/>
    <n v="12.63"/>
    <s v="soft"/>
    <n v="5889"/>
    <n v="41"/>
    <n v="113"/>
    <x v="2"/>
    <n v="3"/>
    <s v="screaming at nothing"/>
    <x v="0"/>
    <n v="1"/>
    <s v="conspiracy theorist"/>
    <s v="Billie Jean"/>
    <n v="71358"/>
    <n v="67"/>
    <n v="28"/>
    <n v="20"/>
  </r>
  <r>
    <n v="25"/>
    <s v="Olive"/>
    <n v="11"/>
    <s v="female"/>
    <s v="mated"/>
    <s v="white"/>
    <s v="Aquarius"/>
    <s v="North Meadow"/>
    <n v="33.6"/>
    <n v="11.76"/>
    <s v="smooth"/>
    <n v="5003"/>
    <n v="80"/>
    <n v="155"/>
    <x v="2"/>
    <n v="5"/>
    <s v="chewing everything"/>
    <x v="1"/>
    <n v="26"/>
    <s v="up to date"/>
    <s v="I Will Always Love Ewe"/>
    <n v="53523"/>
    <n v="44"/>
    <n v="15"/>
    <n v="75"/>
  </r>
  <r>
    <n v="26"/>
    <s v="Mabel"/>
    <n v="5"/>
    <s v="female"/>
    <s v="mated"/>
    <s v="brown"/>
    <s v="Sagittarius"/>
    <s v="Moon Pasture"/>
    <n v="2.69"/>
    <n v="19.95"/>
    <s v="soft"/>
    <n v="10683"/>
    <n v="57"/>
    <n v="79"/>
    <x v="2"/>
    <n v="1"/>
    <s v="climbing rocks"/>
    <x v="1"/>
    <n v="61"/>
    <s v="overdue"/>
    <s v="Mr. Brightside"/>
    <n v="72511"/>
    <n v="96"/>
    <n v="52"/>
    <n v="41"/>
  </r>
  <r>
    <n v="27"/>
    <s v="Sadie"/>
    <n v="1"/>
    <s v="female"/>
    <s v="mated"/>
    <s v="tan"/>
    <s v="Aquarius"/>
    <s v="Cliffside Spa"/>
    <n v="39.520000000000003"/>
    <n v="17.440000000000001"/>
    <s v="coarse"/>
    <n v="9398"/>
    <n v="62"/>
    <n v="73"/>
    <x v="3"/>
    <n v="6"/>
    <s v="staring into the void"/>
    <x v="0"/>
    <n v="85"/>
    <s v="conspiracy theorist"/>
    <s v="Total Eclipse of the Hoof"/>
    <n v="8264"/>
    <n v="28"/>
    <n v="11"/>
    <n v="27"/>
  </r>
  <r>
    <n v="28"/>
    <s v="Josie"/>
    <n v="17"/>
    <s v="female"/>
    <s v="single"/>
    <s v="green"/>
    <s v="Sagittarius"/>
    <s v="Mud Pit"/>
    <n v="1.25"/>
    <n v="14.05"/>
    <s v="soft"/>
    <n v="1034"/>
    <n v="107"/>
    <n v="102"/>
    <x v="3"/>
    <n v="10"/>
    <s v="listening to the wind"/>
    <x v="3"/>
    <n v="33"/>
    <s v="up to date"/>
    <s v="Don't Stop Bleating"/>
    <n v="9597"/>
    <n v="71"/>
    <n v="94"/>
    <n v="20"/>
  </r>
  <r>
    <n v="29"/>
    <s v="Wally"/>
    <n v="2"/>
    <s v="male"/>
    <s v="single"/>
    <s v="gray"/>
    <s v="Pisces"/>
    <s v="North Meadow"/>
    <n v="23.35"/>
    <n v="12.57"/>
    <s v="soft"/>
    <n v="5415"/>
    <n v="52"/>
    <n v="124"/>
    <x v="4"/>
    <n v="10"/>
    <s v="stealing snacks"/>
    <x v="2"/>
    <n v="50"/>
    <s v="overdue"/>
    <s v="We Will Bleat You"/>
    <n v="73019"/>
    <n v="38"/>
    <n v="35"/>
    <n v="97"/>
  </r>
  <r>
    <n v="30"/>
    <s v="Ellie"/>
    <n v="2"/>
    <s v="female"/>
    <s v="mated"/>
    <s v="brown"/>
    <s v="Pisces"/>
    <s v="North Meadow"/>
    <n v="43.8"/>
    <n v="7.99"/>
    <s v="smooth"/>
    <n v="13246"/>
    <n v="66"/>
    <n v="61"/>
    <x v="2"/>
    <n v="9"/>
    <s v="chasing butterflies"/>
    <x v="3"/>
    <n v="79"/>
    <s v="conspiracy theorist"/>
    <s v="Baahemian Rhapsody"/>
    <n v="76953"/>
    <n v="77"/>
    <n v="16"/>
    <n v="58"/>
  </r>
  <r>
    <n v="31"/>
    <s v="Bo"/>
    <n v="3"/>
    <s v="male"/>
    <s v="single"/>
    <s v="green"/>
    <s v="Cancer"/>
    <s v="Mud Pit"/>
    <n v="33.299999999999997"/>
    <n v="9.77"/>
    <s v="sleek"/>
    <n v="2015"/>
    <n v="39"/>
    <n v="155"/>
    <x v="1"/>
    <n v="11"/>
    <s v="listening to the wind"/>
    <x v="0"/>
    <n v="86"/>
    <s v="overdue"/>
    <s v="Wonderwall"/>
    <n v="4283"/>
    <n v="82"/>
    <n v="63"/>
    <n v="44"/>
  </r>
  <r>
    <n v="32"/>
    <s v="Abby"/>
    <n v="11"/>
    <s v="female"/>
    <s v="single"/>
    <s v="beige"/>
    <s v="Virgo"/>
    <s v="North Meadow"/>
    <n v="14.11"/>
    <n v="20.93"/>
    <s v="coarse"/>
    <n v="11825"/>
    <n v="51"/>
    <n v="74"/>
    <x v="4"/>
    <n v="8"/>
    <s v="stomping on grass"/>
    <x v="1"/>
    <n v="3"/>
    <s v="overdue"/>
    <s v="Africa"/>
    <n v="2128"/>
    <n v="19"/>
    <n v="61"/>
    <n v="5"/>
  </r>
  <r>
    <n v="33"/>
    <s v="Juniper"/>
    <n v="8"/>
    <s v="nonbinary"/>
    <s v="situationship"/>
    <s v="yellow"/>
    <s v="Scorpio"/>
    <s v="Mud Pit"/>
    <n v="27.29"/>
    <n v="23.07"/>
    <s v="shaggy"/>
    <n v="10380"/>
    <n v="91"/>
    <n v="155"/>
    <x v="3"/>
    <n v="1"/>
    <s v="reorganizing pebbles"/>
    <x v="1"/>
    <n v="18"/>
    <s v="overdue"/>
    <s v="Take on Me"/>
    <n v="91476"/>
    <n v="41"/>
    <n v="99"/>
    <n v="2"/>
  </r>
  <r>
    <n v="34"/>
    <s v="Frank"/>
    <n v="1"/>
    <s v="male"/>
    <s v="situationship"/>
    <s v="gray"/>
    <s v="Gemini"/>
    <s v="Cliffside Spa"/>
    <n v="22.65"/>
    <n v="16.21"/>
    <s v="coarse"/>
    <n v="6484"/>
    <n v="20"/>
    <n v="100"/>
    <x v="4"/>
    <n v="7"/>
    <s v="chasing butterflies"/>
    <x v="2"/>
    <n v="29"/>
    <s v="overdue"/>
    <s v="All the single Goats"/>
    <n v="45567"/>
    <n v="71"/>
    <n v="24"/>
    <n v="31"/>
  </r>
  <r>
    <n v="35"/>
    <s v="Rex"/>
    <n v="11"/>
    <s v="male"/>
    <s v="mated"/>
    <s v="white"/>
    <s v="Gemini"/>
    <s v="North Meadow"/>
    <n v="18.559999999999999"/>
    <n v="5.16"/>
    <s v="soft"/>
    <n v="12186"/>
    <n v="35"/>
    <n v="100"/>
    <x v="1"/>
    <n v="6"/>
    <s v="screaming at nothing"/>
    <x v="3"/>
    <n v="74"/>
    <s v="overdue"/>
    <s v="Africa"/>
    <n v="62685"/>
    <n v="77"/>
    <n v="23"/>
    <n v="6"/>
  </r>
  <r>
    <n v="36"/>
    <s v="Betsy"/>
    <n v="16"/>
    <s v="female"/>
    <s v="single"/>
    <s v="brown"/>
    <s v="Scorpio"/>
    <s v="Cliffside Spa"/>
    <n v="30.72"/>
    <n v="14.3"/>
    <s v="coarse"/>
    <n v="13363"/>
    <n v="114"/>
    <n v="139"/>
    <x v="3"/>
    <n v="11"/>
    <s v="headbutting"/>
    <x v="3"/>
    <n v="45"/>
    <s v="conspiracy theorist"/>
    <s v="Jolene"/>
    <n v="57590"/>
    <n v="11"/>
    <n v="90"/>
    <n v="74"/>
  </r>
  <r>
    <n v="37"/>
    <s v="Nash"/>
    <n v="4"/>
    <s v="male"/>
    <s v="it's complicated"/>
    <s v="green"/>
    <s v="Sagittarius"/>
    <s v="Cliffside Spa"/>
    <n v="37.729999999999997"/>
    <n v="14.71"/>
    <s v="dusty"/>
    <n v="10715"/>
    <n v="108"/>
    <n v="75"/>
    <x v="1"/>
    <n v="3"/>
    <s v="climbing rocks"/>
    <x v="2"/>
    <n v="2"/>
    <s v="overdue"/>
    <s v="Every Bleat You Take"/>
    <n v="47226"/>
    <n v="88"/>
    <n v="28"/>
    <n v="45"/>
  </r>
  <r>
    <n v="38"/>
    <s v="Rowan"/>
    <n v="16"/>
    <s v="nonbinary"/>
    <s v="it's complicated"/>
    <s v="gray"/>
    <s v="Libra"/>
    <s v="Cliffside Spa"/>
    <n v="32.76"/>
    <n v="15.35"/>
    <s v="soft"/>
    <n v="11814"/>
    <n v="40"/>
    <n v="118"/>
    <x v="1"/>
    <n v="2"/>
    <s v="climbing rocks"/>
    <x v="1"/>
    <n v="55"/>
    <s v="conspiracy theorist"/>
    <s v="Smells Like Teen Spirit"/>
    <n v="69785"/>
    <n v="89"/>
    <n v="28"/>
    <n v="75"/>
  </r>
  <r>
    <n v="39"/>
    <s v="Tom"/>
    <n v="11"/>
    <s v="male"/>
    <s v="situationship"/>
    <s v="green"/>
    <s v="Sagittarius"/>
    <s v="Mud Pit"/>
    <n v="20.309999999999999"/>
    <n v="12.87"/>
    <s v="patchy"/>
    <n v="7774"/>
    <n v="78"/>
    <n v="154"/>
    <x v="3"/>
    <n v="5"/>
    <s v="stomping on grass"/>
    <x v="1"/>
    <n v="20"/>
    <s v="conspiracy theorist"/>
    <s v="All the single Goats"/>
    <n v="21931"/>
    <n v="31"/>
    <n v="20"/>
    <n v="51"/>
  </r>
  <r>
    <n v="40"/>
    <s v="Willow"/>
    <n v="4"/>
    <s v="female"/>
    <s v="mated"/>
    <s v="brown"/>
    <s v="Taurus"/>
    <s v="Mud Pit"/>
    <n v="24.73"/>
    <n v="10.96"/>
    <s v="patchy"/>
    <n v="11356"/>
    <n v="94"/>
    <n v="124"/>
    <x v="2"/>
    <n v="9"/>
    <s v="climbing rocks"/>
    <x v="0"/>
    <n v="38"/>
    <s v="up to date"/>
    <s v="Thunderstruck"/>
    <n v="28869"/>
    <n v="99"/>
    <n v="4"/>
    <n v="30"/>
  </r>
  <r>
    <n v="41"/>
    <s v="Harvey"/>
    <n v="4"/>
    <s v="male"/>
    <s v="mated"/>
    <s v="yellow"/>
    <s v="Leo"/>
    <s v="Cliffside Spa"/>
    <n v="24.46"/>
    <n v="10.31"/>
    <s v="coarse"/>
    <n v="14624"/>
    <n v="63"/>
    <n v="157"/>
    <x v="2"/>
    <n v="1"/>
    <s v="chasing butterflies"/>
    <x v="2"/>
    <n v="87"/>
    <s v="conspiracy theorist"/>
    <s v="Shake It Off"/>
    <n v="55159"/>
    <n v="12"/>
    <n v="90"/>
    <n v="32"/>
  </r>
  <r>
    <n v="42"/>
    <s v="Marvin"/>
    <n v="2"/>
    <s v="male"/>
    <s v="situationship"/>
    <s v="tan"/>
    <s v="Libra"/>
    <s v="Cliffside Spa"/>
    <n v="16.91"/>
    <n v="15.49"/>
    <s v="scruffy"/>
    <n v="1895"/>
    <n v="36"/>
    <n v="76"/>
    <x v="2"/>
    <n v="4"/>
    <s v="practicing yoga"/>
    <x v="3"/>
    <n v="93"/>
    <s v="conspiracy theorist"/>
    <s v="Stayin' Afloat"/>
    <n v="72326"/>
    <n v="99"/>
    <n v="53"/>
    <n v="97"/>
  </r>
  <r>
    <n v="43"/>
    <s v="Lou"/>
    <n v="3"/>
    <s v="female"/>
    <s v="it's complicated"/>
    <s v="green"/>
    <s v="Pisces"/>
    <s v="Cliffside Spa"/>
    <n v="15.33"/>
    <n v="16"/>
    <s v="coarse"/>
    <n v="7896"/>
    <n v="100"/>
    <n v="130"/>
    <x v="0"/>
    <n v="0"/>
    <s v="staring into the void"/>
    <x v="0"/>
    <n v="62"/>
    <s v="up to date"/>
    <s v="Bleat It"/>
    <n v="83863"/>
    <n v="49"/>
    <n v="10"/>
    <n v="97"/>
  </r>
  <r>
    <n v="44"/>
    <s v="Chester"/>
    <n v="18"/>
    <s v="male"/>
    <s v="it's complicated"/>
    <s v="white"/>
    <s v="Cancer"/>
    <s v="Abandoned Barn"/>
    <n v="34.83"/>
    <n v="8.41"/>
    <s v="coarse"/>
    <n v="5451"/>
    <n v="89"/>
    <n v="144"/>
    <x v="3"/>
    <n v="0"/>
    <s v="practicing yoga"/>
    <x v="3"/>
    <n v="86"/>
    <s v="up to date"/>
    <s v="Bohemian Rhapsody"/>
    <n v="73891"/>
    <n v="36"/>
    <n v="54"/>
    <n v="81"/>
  </r>
  <r>
    <n v="45"/>
    <s v="Levi"/>
    <n v="9"/>
    <s v="male"/>
    <s v="single"/>
    <s v="brown"/>
    <s v="Scorpio"/>
    <s v="Cliffside Spa"/>
    <n v="5.77"/>
    <n v="11.38"/>
    <s v="soft"/>
    <n v="2356"/>
    <n v="44"/>
    <n v="87"/>
    <x v="0"/>
    <n v="2"/>
    <s v="reorganizing pebbles"/>
    <x v="1"/>
    <n v="12"/>
    <s v="overdue"/>
    <s v="Bleat It"/>
    <n v="88029"/>
    <n v="5"/>
    <n v="81"/>
    <n v="43"/>
  </r>
  <r>
    <n v="46"/>
    <s v="Grace"/>
    <n v="2"/>
    <s v="female"/>
    <s v="single"/>
    <s v="gray"/>
    <s v="Libra"/>
    <s v="Abandoned Barn"/>
    <n v="13.62"/>
    <n v="8.69"/>
    <s v="patchy"/>
    <n v="738"/>
    <n v="107"/>
    <n v="96"/>
    <x v="1"/>
    <n v="2"/>
    <s v="starting drama"/>
    <x v="2"/>
    <n v="24"/>
    <s v="overdue"/>
    <s v="Wonderwall"/>
    <n v="31769"/>
    <n v="12"/>
    <n v="34"/>
    <n v="26"/>
  </r>
  <r>
    <n v="47"/>
    <s v="Ben"/>
    <n v="9"/>
    <s v="male"/>
    <s v="it's complicated"/>
    <s v="green"/>
    <s v="Virgo"/>
    <s v="Abandoned Barn"/>
    <n v="29.88"/>
    <n v="21.82"/>
    <s v="sleek"/>
    <n v="9300"/>
    <n v="56"/>
    <n v="66"/>
    <x v="2"/>
    <n v="7"/>
    <s v="meditating on a hill"/>
    <x v="2"/>
    <n v="91"/>
    <s v="overdue"/>
    <s v="Poker Face"/>
    <n v="22180"/>
    <n v="42"/>
    <n v="2"/>
    <n v="20"/>
  </r>
  <r>
    <n v="48"/>
    <s v="Lucy"/>
    <n v="12"/>
    <s v="female"/>
    <s v="single"/>
    <s v="yellow"/>
    <s v="Cancer"/>
    <s v="North Meadow"/>
    <n v="24.6"/>
    <n v="9.66"/>
    <s v="fluffy"/>
    <n v="12586"/>
    <n v="20"/>
    <n v="84"/>
    <x v="4"/>
    <n v="3"/>
    <s v="meditating on a hill"/>
    <x v="3"/>
    <n v="73"/>
    <s v="up to date"/>
    <s v="Uptown Funk"/>
    <n v="31342"/>
    <n v="52"/>
    <n v="25"/>
    <n v="70"/>
  </r>
  <r>
    <n v="49"/>
    <s v="Rat"/>
    <n v="13"/>
    <s v="male"/>
    <s v="it's complicated"/>
    <s v="brown"/>
    <s v="Scorpio"/>
    <s v="Abandoned Barn"/>
    <n v="28.77"/>
    <n v="11.64"/>
    <s v="smooth"/>
    <n v="7218"/>
    <n v="83"/>
    <n v="127"/>
    <x v="4"/>
    <n v="12"/>
    <s v="napping in sunlight"/>
    <x v="3"/>
    <n v="49"/>
    <s v="up to date"/>
    <s v="Poker Face"/>
    <n v="87972"/>
    <n v="26"/>
    <n v="79"/>
    <n v="97"/>
  </r>
  <r>
    <n v="50"/>
    <s v="Maisie"/>
    <n v="13"/>
    <s v="female"/>
    <s v="situationship"/>
    <s v="green"/>
    <s v="Capricorn"/>
    <s v="Abandoned Barn"/>
    <n v="10.36"/>
    <n v="5.57"/>
    <s v="soft"/>
    <n v="10984"/>
    <n v="47"/>
    <n v="118"/>
    <x v="3"/>
    <n v="10"/>
    <s v="climbing rocks"/>
    <x v="1"/>
    <n v="75"/>
    <s v="conspiracy theorist"/>
    <s v="I Will Always Love Ewe"/>
    <n v="95007"/>
    <n v="35"/>
    <n v="61"/>
    <n v="64"/>
  </r>
  <r>
    <n v="51"/>
    <s v="Curt"/>
    <n v="13"/>
    <s v="male"/>
    <s v="mated"/>
    <s v="gray"/>
    <s v="Taurus"/>
    <s v="North Meadow"/>
    <n v="32.85"/>
    <n v="24.31"/>
    <s v="patchy"/>
    <n v="14927"/>
    <n v="119"/>
    <n v="102"/>
    <x v="2"/>
    <n v="0"/>
    <s v="screaming at nothing"/>
    <x v="0"/>
    <n v="32"/>
    <s v="overdue"/>
    <s v="Shake It Off"/>
    <n v="12950"/>
    <n v="36"/>
    <n v="48"/>
    <n v="12"/>
  </r>
  <r>
    <n v="52"/>
    <s v="Dolly"/>
    <n v="7"/>
    <s v="female"/>
    <s v="mated"/>
    <s v="white"/>
    <s v="Aquarius"/>
    <s v="North Meadow"/>
    <n v="29.78"/>
    <n v="20.88"/>
    <s v="smooth"/>
    <n v="2824"/>
    <n v="88"/>
    <n v="110"/>
    <x v="4"/>
    <n v="2"/>
    <s v="napping in sunlight"/>
    <x v="1"/>
    <n v="3"/>
    <s v="conspiracy theorist"/>
    <s v="Dancing Queen"/>
    <n v="8464"/>
    <n v="81"/>
    <n v="77"/>
    <n v="80"/>
  </r>
  <r>
    <n v="53"/>
    <s v="Clay"/>
    <n v="17"/>
    <s v="male"/>
    <s v="single"/>
    <s v="brown"/>
    <s v="Capricorn"/>
    <s v="Mud Pit"/>
    <n v="20.22"/>
    <n v="11.11"/>
    <s v="soft"/>
    <n v="10464"/>
    <n v="91"/>
    <n v="90"/>
    <x v="4"/>
    <n v="4"/>
    <s v="staring into the void"/>
    <x v="2"/>
    <n v="11"/>
    <s v="overdue"/>
    <s v="Bleat It"/>
    <n v="14836"/>
    <n v="25"/>
    <n v="90"/>
    <n v="59"/>
  </r>
  <r>
    <n v="54"/>
    <s v="Dottie"/>
    <n v="14"/>
    <s v="female"/>
    <s v="situationship"/>
    <s v="green"/>
    <s v="Libra"/>
    <s v="Mud Pit"/>
    <n v="44.4"/>
    <n v="12.64"/>
    <s v="mud-slick"/>
    <n v="5982"/>
    <n v="78"/>
    <n v="95"/>
    <x v="0"/>
    <n v="6"/>
    <s v="chasing butterflies"/>
    <x v="1"/>
    <n v="49"/>
    <s v="overdue"/>
    <s v="Baahemian Rhapsody"/>
    <n v="75766"/>
    <n v="11"/>
    <n v="71"/>
    <n v="68"/>
  </r>
  <r>
    <n v="55"/>
    <s v="Bill"/>
    <n v="16"/>
    <s v="male"/>
    <s v="situationship"/>
    <s v="yellow"/>
    <s v="Aries"/>
    <s v="Abandoned Barn"/>
    <n v="32.49"/>
    <n v="19.850000000000001"/>
    <s v="patchy"/>
    <n v="2278"/>
    <n v="103"/>
    <n v="143"/>
    <x v="4"/>
    <n v="4"/>
    <s v="artistic bleating"/>
    <x v="2"/>
    <n v="5"/>
    <s v="up to date"/>
    <s v="Thunderstruck"/>
    <n v="57773"/>
    <n v="12"/>
    <n v="14"/>
    <n v="40"/>
  </r>
  <r>
    <n v="56"/>
    <s v="Ruthie"/>
    <n v="15"/>
    <s v="male"/>
    <s v="situationship"/>
    <s v="brown"/>
    <s v="Aquarius"/>
    <s v="Abandoned Barn"/>
    <n v="30.19"/>
    <n v="12.78"/>
    <s v="patchy"/>
    <n v="11286"/>
    <n v="93"/>
    <n v="155"/>
    <x v="2"/>
    <n v="4"/>
    <s v="chewing everything"/>
    <x v="2"/>
    <n v="80"/>
    <s v="conspiracy theorist"/>
    <s v="Grazing in the Wind"/>
    <n v="11150"/>
    <n v="28"/>
    <n v="63"/>
    <n v="77"/>
  </r>
  <r>
    <n v="57"/>
    <s v="Minnie"/>
    <n v="12"/>
    <s v="female"/>
    <s v="single"/>
    <s v="green"/>
    <s v="Aries"/>
    <s v="Moon Pasture"/>
    <n v="17.3"/>
    <n v="9.98"/>
    <s v="coarse"/>
    <n v="9031"/>
    <n v="23"/>
    <n v="81"/>
    <x v="0"/>
    <n v="8"/>
    <s v="reorganizing pebbles"/>
    <x v="2"/>
    <n v="99"/>
    <s v="conspiracy theorist"/>
    <s v="Livin' la Vida Loca"/>
    <n v="3005"/>
    <n v="37"/>
    <n v="43"/>
    <n v="89"/>
  </r>
  <r>
    <n v="58"/>
    <s v="Oscar"/>
    <n v="14"/>
    <s v="male"/>
    <s v="single"/>
    <s v="gray"/>
    <s v="Cancer"/>
    <s v="Mud Pit"/>
    <n v="28.95"/>
    <n v="1.42"/>
    <s v="soft"/>
    <n v="10974"/>
    <n v="40"/>
    <n v="91"/>
    <x v="4"/>
    <n v="10"/>
    <s v="screaming at nothing"/>
    <x v="1"/>
    <n v="2"/>
    <s v="overdue"/>
    <s v="Grazing in the Wind"/>
    <n v="83778"/>
    <n v="73"/>
    <n v="12"/>
    <n v="81"/>
  </r>
  <r>
    <n v="59"/>
    <s v="Finn"/>
    <n v="9"/>
    <s v="male"/>
    <s v="situationship"/>
    <s v="brown"/>
    <s v="Capricorn"/>
    <s v="North Meadow"/>
    <n v="27.02"/>
    <n v="20.059999999999999"/>
    <s v="patchy"/>
    <n v="2181"/>
    <n v="91"/>
    <n v="146"/>
    <x v="1"/>
    <n v="4"/>
    <s v="meditating on a hill"/>
    <x v="3"/>
    <n v="68"/>
    <s v="conspiracy theorist"/>
    <s v="Grazing in the Wind"/>
    <n v="15495"/>
    <n v="72"/>
    <n v="3"/>
    <n v="46"/>
  </r>
  <r>
    <n v="60"/>
    <s v="Moose"/>
    <n v="4"/>
    <s v="existential crisis"/>
    <s v="it's complicated"/>
    <s v="white"/>
    <s v="Virgo"/>
    <s v="Moon Pasture"/>
    <n v="32.76"/>
    <n v="3.11"/>
    <s v="coarse"/>
    <n v="10715"/>
    <n v="112"/>
    <n v="141"/>
    <x v="2"/>
    <n v="7"/>
    <s v="meditating on a hill"/>
    <x v="0"/>
    <n v="65"/>
    <s v="up to date"/>
    <s v="Africa"/>
    <n v="42118"/>
    <n v="42"/>
    <n v="72"/>
    <n v="87"/>
  </r>
  <r>
    <n v="61"/>
    <s v="Cricket"/>
    <n v="2"/>
    <s v="existential crisis"/>
    <s v="it's complicated"/>
    <s v="green"/>
    <s v="Scorpio"/>
    <s v="Abandoned Barn"/>
    <n v="24.22"/>
    <n v="8.8000000000000007"/>
    <s v="sleek"/>
    <n v="6856"/>
    <n v="84"/>
    <n v="124"/>
    <x v="1"/>
    <n v="12"/>
    <s v="chasing butterflies"/>
    <x v="1"/>
    <n v="41"/>
    <s v="conspiracy theorist"/>
    <s v="Bleat It"/>
    <n v="71180"/>
    <n v="55"/>
    <n v="45"/>
    <n v="45"/>
  </r>
  <r>
    <n v="62"/>
    <s v="Pickles"/>
    <n v="11"/>
    <s v="female"/>
    <s v="it's complicated"/>
    <s v="tan"/>
    <s v="Aries"/>
    <s v="Abandoned Barn"/>
    <n v="15.38"/>
    <n v="22.41"/>
    <s v="smooth"/>
    <n v="3427"/>
    <n v="110"/>
    <n v="95"/>
    <x v="2"/>
    <n v="2"/>
    <s v="artistic bleating"/>
    <x v="2"/>
    <n v="86"/>
    <s v="overdue"/>
    <s v="Hotel California"/>
    <n v="71307"/>
    <n v="99"/>
    <n v="38"/>
    <n v="63"/>
  </r>
  <r>
    <n v="63"/>
    <s v="Gertie"/>
    <n v="12"/>
    <s v="male"/>
    <s v="single"/>
    <s v="brown"/>
    <s v="Gemini"/>
    <s v="Cliffside Spa"/>
    <n v="37.04"/>
    <n v="4.1900000000000004"/>
    <s v="coarse"/>
    <n v="9164"/>
    <n v="50"/>
    <n v="125"/>
    <x v="3"/>
    <n v="7"/>
    <s v="reorganizing pebbles"/>
    <x v="0"/>
    <n v="71"/>
    <s v="up to date"/>
    <s v="Take on Me"/>
    <n v="21938"/>
    <n v="89"/>
    <n v="70"/>
    <n v="54"/>
  </r>
  <r>
    <n v="64"/>
    <s v="Scout"/>
    <n v="17"/>
    <s v="male"/>
    <s v="single"/>
    <s v="yellow"/>
    <s v="Sagittarius"/>
    <s v="Cliffside Spa"/>
    <n v="11.85"/>
    <n v="10.56"/>
    <s v="soft"/>
    <n v="8781"/>
    <n v="37"/>
    <n v="128"/>
    <x v="0"/>
    <n v="12"/>
    <s v="stealing snacks"/>
    <x v="3"/>
    <n v="79"/>
    <s v="up to date"/>
    <s v="I Will Always Love Ewe"/>
    <n v="65080"/>
    <n v="22"/>
    <n v="90"/>
    <n v="48"/>
  </r>
  <r>
    <n v="65"/>
    <s v="Otto"/>
    <n v="6"/>
    <s v="male"/>
    <s v="mated"/>
    <s v="green"/>
    <s v="Sagittarius"/>
    <s v="Mud Pit"/>
    <n v="42.35"/>
    <n v="11.38"/>
    <s v="patchy"/>
    <n v="1649"/>
    <n v="73"/>
    <n v="127"/>
    <x v="0"/>
    <n v="7"/>
    <s v="staring into the void"/>
    <x v="0"/>
    <n v="28"/>
    <s v="conspiracy theorist"/>
    <s v="Bleat It"/>
    <n v="87218"/>
    <n v="12"/>
    <n v="23"/>
    <n v="84"/>
  </r>
  <r>
    <n v="66"/>
    <s v="Pearl"/>
    <n v="18"/>
    <s v="female"/>
    <s v="it's complicated"/>
    <s v="brown"/>
    <s v="Taurus"/>
    <s v="Moon Pasture"/>
    <n v="17.48"/>
    <n v="19.41"/>
    <s v="coarse"/>
    <n v="6387"/>
    <n v="45"/>
    <n v="63"/>
    <x v="2"/>
    <n v="0"/>
    <s v="headbutting"/>
    <x v="0"/>
    <n v="10"/>
    <s v="conspiracy theorist"/>
    <s v="Jolene"/>
    <n v="98100"/>
    <n v="8"/>
    <n v="95"/>
    <n v="27"/>
  </r>
  <r>
    <n v="67"/>
    <s v="Holly"/>
    <n v="14"/>
    <s v="female"/>
    <s v="it's complicated"/>
    <s v="gray"/>
    <s v="Aquarius"/>
    <s v="Moon Pasture"/>
    <n v="18.600000000000001"/>
    <n v="4.2"/>
    <s v="coarse"/>
    <n v="1737"/>
    <n v="74"/>
    <n v="125"/>
    <x v="3"/>
    <n v="1"/>
    <s v="stomping on grass"/>
    <x v="0"/>
    <n v="17"/>
    <s v="conspiracy theorist"/>
    <s v="Grazing in the Wind"/>
    <n v="52956"/>
    <n v="74"/>
    <n v="42"/>
    <n v="17"/>
  </r>
  <r>
    <n v="68"/>
    <s v="Sunny"/>
    <n v="17"/>
    <s v="nonbinary"/>
    <s v="mated"/>
    <s v="green"/>
    <s v="Gemini"/>
    <s v="Mud Pit"/>
    <n v="18.73"/>
    <n v="16.13"/>
    <s v="soft"/>
    <n v="5827"/>
    <n v="55"/>
    <n v="92"/>
    <x v="2"/>
    <n v="9"/>
    <s v="artistic bleating"/>
    <x v="0"/>
    <n v="32"/>
    <s v="overdue"/>
    <s v="Don't Stop Bleating"/>
    <n v="77121"/>
    <n v="76"/>
    <n v="56"/>
    <n v="41"/>
  </r>
  <r>
    <n v="69"/>
    <s v="Ash"/>
    <n v="8"/>
    <s v="female"/>
    <s v="single"/>
    <s v="white"/>
    <s v="Pisces"/>
    <s v="Cliffside Spa"/>
    <n v="13.11"/>
    <n v="10.28"/>
    <s v="soft"/>
    <n v="8026"/>
    <n v="102"/>
    <n v="62"/>
    <x v="4"/>
    <n v="1"/>
    <s v="practicing yoga"/>
    <x v="0"/>
    <n v="72"/>
    <s v="up to date"/>
    <s v="Stayin' Afloat"/>
    <n v="72813"/>
    <n v="46"/>
    <n v="33"/>
    <n v="40"/>
  </r>
  <r>
    <n v="70"/>
    <s v="Millie"/>
    <n v="15"/>
    <s v="nonbinary"/>
    <s v="single"/>
    <s v="brown"/>
    <s v="Leo"/>
    <s v="Abandoned Barn"/>
    <n v="27.54"/>
    <n v="10.67"/>
    <s v="coarse"/>
    <n v="11219"/>
    <n v="111"/>
    <n v="118"/>
    <x v="1"/>
    <n v="10"/>
    <s v="chasing butterflies"/>
    <x v="0"/>
    <n v="32"/>
    <s v="conspiracy theorist"/>
    <s v="We Will Bleat You"/>
    <n v="51268"/>
    <n v="44"/>
    <n v="19"/>
    <n v="73"/>
  </r>
  <r>
    <n v="71"/>
    <s v="Robin"/>
    <n v="15"/>
    <s v="male"/>
    <s v="it's complicated"/>
    <s v="green"/>
    <s v="Scorpio"/>
    <s v="Moon Pasture"/>
    <n v="19.72"/>
    <n v="17.68"/>
    <s v="soft"/>
    <n v="6261"/>
    <n v="20"/>
    <n v="128"/>
    <x v="1"/>
    <n v="5"/>
    <s v="climbing rocks"/>
    <x v="2"/>
    <n v="50"/>
    <s v="overdue"/>
    <s v="Grazing in the Wind"/>
    <n v="76578"/>
    <n v="99"/>
    <n v="11"/>
    <n v="78"/>
  </r>
  <r>
    <n v="72"/>
    <s v="Sky"/>
    <n v="4"/>
    <s v="female"/>
    <s v="single"/>
    <s v="beige"/>
    <s v="Cancer"/>
    <s v="Moon Pasture"/>
    <n v="12.55"/>
    <n v="18.239999999999998"/>
    <s v="coarse"/>
    <n v="13099"/>
    <n v="98"/>
    <n v="138"/>
    <x v="1"/>
    <n v="3"/>
    <s v="climbing rocks"/>
    <x v="1"/>
    <n v="19"/>
    <s v="overdue"/>
    <s v="Stairway to Hayven"/>
    <n v="46654"/>
    <n v="82"/>
    <n v="97"/>
    <n v="38"/>
  </r>
  <r>
    <n v="73"/>
    <s v="Waylon"/>
    <n v="16"/>
    <s v="male"/>
    <s v="situationship"/>
    <s v="gray"/>
    <s v="Libra"/>
    <s v="Moon Pasture"/>
    <n v="16.670000000000002"/>
    <n v="7.14"/>
    <s v="sparkly"/>
    <n v="3444"/>
    <n v="29"/>
    <n v="158"/>
    <x v="4"/>
    <n v="0"/>
    <s v="dominating the salt lick"/>
    <x v="3"/>
    <n v="23"/>
    <s v="overdue"/>
    <s v="Stairway to Hayven"/>
    <n v="17326"/>
    <n v="67"/>
    <n v="72"/>
    <n v="18"/>
  </r>
  <r>
    <n v="74"/>
    <s v="Tilly"/>
    <n v="1"/>
    <s v="female"/>
    <s v="single"/>
    <s v="green"/>
    <s v="Leo"/>
    <s v="North Meadow"/>
    <n v="19.18"/>
    <n v="5.6"/>
    <s v="sleek"/>
    <n v="3252"/>
    <n v="107"/>
    <n v="66"/>
    <x v="1"/>
    <n v="5"/>
    <s v="screaming at nothing"/>
    <x v="0"/>
    <n v="44"/>
    <s v="conspiracy theorist"/>
    <s v="Bohemian Rhapsody"/>
    <n v="24296"/>
    <n v="1"/>
    <n v="15"/>
    <n v="43"/>
  </r>
  <r>
    <n v="75"/>
    <s v="Homer"/>
    <n v="16"/>
    <s v="male"/>
    <s v="single"/>
    <s v="brown"/>
    <s v="Cancer"/>
    <s v="North Meadow"/>
    <n v="17.559999999999999"/>
    <n v="6.95"/>
    <s v="soft"/>
    <n v="5135"/>
    <n v="105"/>
    <n v="93"/>
    <x v="2"/>
    <n v="11"/>
    <s v="napping in sunlight"/>
    <x v="1"/>
    <n v="37"/>
    <s v="up to date"/>
    <s v="I Will Always Love Ewe"/>
    <n v="45449"/>
    <n v="54"/>
    <n v="45"/>
    <n v="33"/>
  </r>
  <r>
    <n v="76"/>
    <s v="Jill"/>
    <n v="10"/>
    <s v="female"/>
    <s v="single"/>
    <s v="tan"/>
    <s v="Sagittarius"/>
    <s v="Cliffside Spa"/>
    <n v="37.33"/>
    <n v="1.69"/>
    <s v="soft"/>
    <n v="9148"/>
    <n v="108"/>
    <n v="68"/>
    <x v="1"/>
    <n v="2"/>
    <s v="stealing snacks"/>
    <x v="0"/>
    <n v="9"/>
    <s v="overdue"/>
    <s v="Take on Me"/>
    <n v="35911"/>
    <n v="75"/>
    <n v="91"/>
    <n v="10"/>
  </r>
  <r>
    <n v="77"/>
    <s v="Chip"/>
    <n v="2"/>
    <s v="existential crisis"/>
    <s v="situationship"/>
    <s v="yellow"/>
    <s v="Aquarius"/>
    <s v="Cliffside Spa"/>
    <n v="10.119999999999999"/>
    <n v="0.18"/>
    <s v="soft"/>
    <n v="7006"/>
    <n v="80"/>
    <n v="68"/>
    <x v="2"/>
    <n v="5"/>
    <s v="chewing everything"/>
    <x v="1"/>
    <n v="30"/>
    <s v="overdue"/>
    <s v="I Will Always Love Ewe"/>
    <n v="69736"/>
    <n v="6"/>
    <n v="48"/>
    <n v="68"/>
  </r>
  <r>
    <n v="78"/>
    <s v="Trucker"/>
    <n v="13"/>
    <s v="male"/>
    <s v="mated"/>
    <s v="green"/>
    <s v="Capricorn"/>
    <s v="North Meadow"/>
    <n v="24.88"/>
    <n v="19.420000000000002"/>
    <s v="fluffy"/>
    <n v="1491"/>
    <n v="22"/>
    <n v="105"/>
    <x v="2"/>
    <n v="4"/>
    <s v="listening to the wind"/>
    <x v="1"/>
    <n v="15"/>
    <s v="overdue"/>
    <s v="Livin' la Vida Loca"/>
    <n v="86861"/>
    <n v="97"/>
    <n v="55"/>
    <n v="79"/>
  </r>
  <r>
    <n v="79"/>
    <s v="Bert"/>
    <n v="2"/>
    <s v="male"/>
    <s v="mated"/>
    <s v="brown"/>
    <s v="Leo"/>
    <s v="Cliffside Spa"/>
    <n v="35.54"/>
    <n v="15.99"/>
    <s v="patchy"/>
    <n v="6330"/>
    <n v="36"/>
    <n v="101"/>
    <x v="0"/>
    <n v="11"/>
    <s v="artistic bleating"/>
    <x v="3"/>
    <n v="69"/>
    <s v="conspiracy theorist"/>
    <s v="Wonderwall"/>
    <n v="12979"/>
    <n v="77"/>
    <n v="89"/>
    <n v="84"/>
  </r>
  <r>
    <n v="80"/>
    <s v="Sage"/>
    <n v="8"/>
    <s v="nonbinary"/>
    <s v="mated"/>
    <s v="gray"/>
    <s v="Cancer"/>
    <s v="Mud Pit"/>
    <n v="24.79"/>
    <n v="3.65"/>
    <s v="patchy"/>
    <n v="2544"/>
    <n v="84"/>
    <n v="137"/>
    <x v="0"/>
    <n v="4"/>
    <s v="staring into the void"/>
    <x v="2"/>
    <n v="0"/>
    <s v="up to date"/>
    <s v="We Will Bleat You"/>
    <n v="88061"/>
    <n v="62"/>
    <n v="98"/>
    <n v="34"/>
  </r>
  <r>
    <n v="81"/>
    <s v="Darla"/>
    <n v="10"/>
    <s v="female"/>
    <s v="single"/>
    <s v="green"/>
    <s v="Virgo"/>
    <s v="North Meadow"/>
    <n v="18.38"/>
    <n v="16.64"/>
    <s v="sleek"/>
    <n v="9410"/>
    <n v="33"/>
    <n v="130"/>
    <x v="0"/>
    <n v="6"/>
    <s v="plotting escapes"/>
    <x v="0"/>
    <n v="64"/>
    <s v="overdue"/>
    <s v="Dancing Queen"/>
    <n v="84574"/>
    <n v="98"/>
    <n v="2"/>
    <n v="85"/>
  </r>
  <r>
    <n v="82"/>
    <s v="Winston"/>
    <n v="17"/>
    <s v="male"/>
    <s v="it's complicated"/>
    <s v="white"/>
    <s v="Gemini"/>
    <s v="Mud Pit"/>
    <n v="22.94"/>
    <n v="17.48"/>
    <s v="coarse"/>
    <n v="9603"/>
    <n v="93"/>
    <n v="157"/>
    <x v="1"/>
    <n v="0"/>
    <s v="artistic bleating"/>
    <x v="2"/>
    <n v="37"/>
    <s v="up to date"/>
    <s v="We Will Bleat You"/>
    <n v="75323"/>
    <n v="58"/>
    <n v="94"/>
    <n v="76"/>
  </r>
  <r>
    <n v="83"/>
    <s v="Clint"/>
    <n v="9"/>
    <s v="male"/>
    <s v="situationship"/>
    <s v="brown"/>
    <s v="Pisces"/>
    <s v="Mud Pit"/>
    <n v="12"/>
    <n v="24.44"/>
    <s v="coarse"/>
    <n v="13134"/>
    <n v="83"/>
    <n v="117"/>
    <x v="4"/>
    <n v="5"/>
    <s v="napping in sunlight"/>
    <x v="3"/>
    <n v="13"/>
    <s v="up to date"/>
    <s v="Hotel California"/>
    <n v="88385"/>
    <n v="73"/>
    <n v="29"/>
    <n v="41"/>
  </r>
  <r>
    <n v="84"/>
    <s v="Dean"/>
    <n v="3"/>
    <s v="male"/>
    <s v="it's complicated"/>
    <s v="green"/>
    <s v="Libra"/>
    <s v="North Meadow"/>
    <n v="36.82"/>
    <n v="12.94"/>
    <s v="scruffy"/>
    <n v="3668"/>
    <n v="59"/>
    <n v="103"/>
    <x v="3"/>
    <n v="11"/>
    <s v="listening to the wind"/>
    <x v="3"/>
    <n v="24"/>
    <s v="conspiracy theorist"/>
    <s v="Sweet Caroline"/>
    <n v="99242"/>
    <n v="4"/>
    <n v="59"/>
    <n v="54"/>
  </r>
  <r>
    <n v="85"/>
    <s v="Annie"/>
    <n v="5"/>
    <s v="female"/>
    <s v="it's complicated"/>
    <s v="yellow"/>
    <s v="Virgo"/>
    <s v="Moon Pasture"/>
    <n v="40.24"/>
    <n v="4.01"/>
    <s v="patchy"/>
    <n v="14012"/>
    <n v="117"/>
    <n v="87"/>
    <x v="4"/>
    <n v="7"/>
    <s v="stomping on grass"/>
    <x v="3"/>
    <n v="18"/>
    <s v="conspiracy theorist"/>
    <s v="Bohemian Rhapsody"/>
    <n v="36107"/>
    <n v="6"/>
    <n v="32"/>
    <n v="20"/>
  </r>
  <r>
    <n v="86"/>
    <s v="Lucas"/>
    <n v="12"/>
    <s v="male"/>
    <s v="situationship"/>
    <s v="gray"/>
    <s v="Leo"/>
    <s v="Moon Pasture"/>
    <n v="18.43"/>
    <n v="4.6900000000000004"/>
    <s v="smooth"/>
    <n v="5851"/>
    <n v="69"/>
    <n v="133"/>
    <x v="1"/>
    <n v="6"/>
    <s v="meditating on a hill"/>
    <x v="2"/>
    <n v="21"/>
    <s v="up to date"/>
    <s v="Smells Like Teen Spirit"/>
    <n v="4276"/>
    <n v="57"/>
    <n v="66"/>
    <n v="8"/>
  </r>
  <r>
    <n v="87"/>
    <s v="Rainbow"/>
    <n v="3"/>
    <s v="female"/>
    <s v="it's complicated"/>
    <s v="brown"/>
    <s v="Cancer"/>
    <s v="Moon Pasture"/>
    <n v="44.62"/>
    <n v="2.2799999999999998"/>
    <s v="fuzzy"/>
    <n v="14902"/>
    <n v="25"/>
    <n v="110"/>
    <x v="3"/>
    <n v="12"/>
    <s v="stealing snacks"/>
    <x v="0"/>
    <n v="31"/>
    <s v="conspiracy theorist"/>
    <s v="I Will Always Love Ewe"/>
    <n v="88223"/>
    <n v="95"/>
    <n v="89"/>
    <n v="72"/>
  </r>
  <r>
    <n v="88"/>
    <s v="Honey"/>
    <n v="12"/>
    <s v="female"/>
    <s v="mated"/>
    <s v="green"/>
    <s v="Taurus"/>
    <s v="Mud Pit"/>
    <n v="11.93"/>
    <n v="23.03"/>
    <s v="soft"/>
    <n v="6882"/>
    <n v="97"/>
    <n v="105"/>
    <x v="1"/>
    <n v="9"/>
    <s v="chewing everything"/>
    <x v="1"/>
    <n v="57"/>
    <s v="conspiracy theorist"/>
    <s v="Grazing in the Wind"/>
    <n v="89096"/>
    <n v="29"/>
    <n v="18"/>
    <n v="11"/>
  </r>
  <r>
    <n v="89"/>
    <s v="Lila"/>
    <n v="10"/>
    <s v="female"/>
    <s v="mated"/>
    <s v="tan"/>
    <s v="Pisces"/>
    <s v="Moon Pasture"/>
    <n v="37.93"/>
    <n v="18.600000000000001"/>
    <s v="dusty"/>
    <n v="5373"/>
    <n v="40"/>
    <n v="76"/>
    <x v="3"/>
    <n v="3"/>
    <s v="artistic bleating"/>
    <x v="3"/>
    <n v="7"/>
    <s v="conspiracy theorist"/>
    <s v="Mr. Brightside"/>
    <n v="38619"/>
    <n v="22"/>
    <n v="93"/>
    <n v="88"/>
  </r>
  <r>
    <n v="90"/>
    <s v="Donald"/>
    <n v="3"/>
    <s v="male"/>
    <s v="situationship"/>
    <s v="brown"/>
    <s v="Virgo"/>
    <s v="North Meadow"/>
    <n v="14.02"/>
    <n v="3.1"/>
    <s v="coarse"/>
    <n v="11778"/>
    <n v="43"/>
    <n v="118"/>
    <x v="1"/>
    <n v="5"/>
    <s v="stomping on grass"/>
    <x v="2"/>
    <n v="2"/>
    <s v="overdue"/>
    <s v="Jolene"/>
    <n v="86159"/>
    <n v="26"/>
    <n v="26"/>
    <n v="19"/>
  </r>
  <r>
    <n v="91"/>
    <s v="Tina"/>
    <n v="3"/>
    <s v="female"/>
    <s v="mated"/>
    <s v="white"/>
    <s v="Scorpio"/>
    <s v="Mud Pit"/>
    <n v="28.2"/>
    <n v="14.01"/>
    <s v="soft"/>
    <n v="14094"/>
    <n v="106"/>
    <n v="100"/>
    <x v="4"/>
    <n v="9"/>
    <s v="plotting escapes"/>
    <x v="0"/>
    <n v="31"/>
    <s v="overdue"/>
    <s v="Thunderstruck"/>
    <n v="4255"/>
    <n v="29"/>
    <n v="89"/>
    <n v="15"/>
  </r>
  <r>
    <n v="92"/>
    <s v="Mabel"/>
    <n v="5"/>
    <s v="female"/>
    <s v="single"/>
    <s v="green"/>
    <s v="Taurus"/>
    <s v="Cliffside Spa"/>
    <n v="39.57"/>
    <n v="8"/>
    <s v="soft"/>
    <n v="12237"/>
    <n v="76"/>
    <n v="123"/>
    <x v="2"/>
    <n v="8"/>
    <s v="screaming at nothing"/>
    <x v="2"/>
    <n v="82"/>
    <s v="overdue"/>
    <s v="We Will Bleat You"/>
    <n v="94632"/>
    <n v="90"/>
    <n v="72"/>
    <n v="6"/>
  </r>
  <r>
    <n v="93"/>
    <s v="Roz"/>
    <n v="11"/>
    <s v="female"/>
    <s v="mated"/>
    <s v="gray"/>
    <s v="Scorpio"/>
    <s v="Cliffside Spa"/>
    <n v="33.15"/>
    <n v="6.74"/>
    <s v="soft"/>
    <n v="14334"/>
    <n v="64"/>
    <n v="112"/>
    <x v="3"/>
    <n v="5"/>
    <s v="stomping on grass"/>
    <x v="1"/>
    <n v="77"/>
    <s v="up to date"/>
    <s v="Africa"/>
    <n v="1996"/>
    <n v="55"/>
    <n v="57"/>
    <n v="67"/>
  </r>
  <r>
    <n v="94"/>
    <s v="Wade"/>
    <n v="18"/>
    <s v="male"/>
    <s v="mated"/>
    <s v="yellow"/>
    <s v="Aquarius"/>
    <s v="Moon Pasture"/>
    <n v="11.56"/>
    <n v="1.84"/>
    <s v="soft"/>
    <n v="3980"/>
    <n v="81"/>
    <n v="78"/>
    <x v="4"/>
    <n v="7"/>
    <s v="starting drama"/>
    <x v="3"/>
    <n v="11"/>
    <s v="up to date"/>
    <s v="Bohemian Rhapsody"/>
    <n v="38743"/>
    <n v="56"/>
    <n v="95"/>
    <n v="79"/>
  </r>
  <r>
    <n v="95"/>
    <s v="Grant"/>
    <n v="3"/>
    <s v="male"/>
    <s v="single"/>
    <s v="brown"/>
    <s v="Cancer"/>
    <s v="North Meadow"/>
    <n v="29.86"/>
    <n v="11.83"/>
    <s v="sleek"/>
    <n v="6777"/>
    <n v="91"/>
    <n v="134"/>
    <x v="0"/>
    <n v="6"/>
    <s v="staring into the void"/>
    <x v="3"/>
    <n v="48"/>
    <s v="conspiracy theorist"/>
    <s v="Bleat It"/>
    <n v="21345"/>
    <n v="42"/>
    <n v="51"/>
    <n v="94"/>
  </r>
  <r>
    <n v="96"/>
    <s v="Gabe"/>
    <n v="16"/>
    <s v="male"/>
    <s v="mated"/>
    <s v="green"/>
    <s v="Gemini"/>
    <s v="Mud Pit"/>
    <n v="6.69"/>
    <n v="5.01"/>
    <s v="sparkly"/>
    <n v="12867"/>
    <n v="51"/>
    <n v="71"/>
    <x v="2"/>
    <n v="8"/>
    <s v="meditating on a hill"/>
    <x v="2"/>
    <n v="48"/>
    <s v="up to date"/>
    <s v="All the single Goats"/>
    <n v="16086"/>
    <n v="97"/>
    <n v="98"/>
    <n v="11"/>
  </r>
  <r>
    <n v="97"/>
    <s v="Nora"/>
    <n v="9"/>
    <s v="female"/>
    <s v="it's complicated"/>
    <s v="gray"/>
    <s v="Libra"/>
    <s v="Mud Pit"/>
    <n v="15.44"/>
    <n v="10.9"/>
    <s v="patchy"/>
    <n v="9197"/>
    <n v="59"/>
    <n v="86"/>
    <x v="0"/>
    <n v="8"/>
    <s v="starting drama"/>
    <x v="2"/>
    <n v="30"/>
    <s v="conspiracy theorist"/>
    <s v="Hotel California"/>
    <n v="69453"/>
    <n v="27"/>
    <n v="1"/>
    <n v="40"/>
  </r>
  <r>
    <n v="98"/>
    <s v="Ned"/>
    <n v="17"/>
    <s v="male"/>
    <s v="situationship"/>
    <s v="brown"/>
    <s v="Libra"/>
    <s v="Abandoned Barn"/>
    <n v="21.32"/>
    <n v="8.2200000000000006"/>
    <s v="coarse"/>
    <n v="1103"/>
    <n v="38"/>
    <n v="149"/>
    <x v="2"/>
    <n v="3"/>
    <s v="chewing everything"/>
    <x v="1"/>
    <n v="32"/>
    <s v="overdue"/>
    <s v="Bad Romance"/>
    <n v="71073"/>
    <n v="87"/>
    <n v="48"/>
    <n v="71"/>
  </r>
  <r>
    <n v="99"/>
    <s v="Pete"/>
    <n v="18"/>
    <s v="male"/>
    <s v="situationship"/>
    <s v="green"/>
    <s v="Sagittarius"/>
    <s v="North Meadow"/>
    <n v="31.74"/>
    <n v="4.8499999999999996"/>
    <s v="smooth"/>
    <n v="12513"/>
    <n v="81"/>
    <n v="151"/>
    <x v="4"/>
    <n v="6"/>
    <s v="chewing everything"/>
    <x v="1"/>
    <n v="96"/>
    <s v="conspiracy theorist"/>
    <s v="Total Eclipse of the Hoof"/>
    <n v="58923"/>
    <n v="92"/>
    <n v="95"/>
    <n v="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s v="Maggie"/>
    <n v="11"/>
    <s v="female"/>
    <s v="single"/>
    <s v="green"/>
    <s v="Leo"/>
    <s v="North Meadow"/>
    <n v="7.2"/>
    <n v="7.0000000000000007E-2"/>
    <s v="soft"/>
    <n v="11000"/>
    <n v="77"/>
    <n v="127"/>
    <x v="0"/>
    <n v="8"/>
    <s v="headbutting"/>
    <x v="0"/>
    <x v="0"/>
    <x v="0"/>
    <s v="Take on Me"/>
    <n v="27733"/>
    <n v="62"/>
    <n v="55"/>
    <n v="85"/>
    <n v="30"/>
  </r>
  <r>
    <n v="2"/>
    <s v="Daisy"/>
    <n v="5"/>
    <s v="female"/>
    <s v="it's complicated"/>
    <s v="brown"/>
    <s v="Taurus"/>
    <s v="Cliffside Spa"/>
    <n v="31.48"/>
    <n v="14.33"/>
    <s v="smooth"/>
    <n v="6344"/>
    <n v="62"/>
    <n v="101"/>
    <x v="1"/>
    <n v="9"/>
    <s v="starting drama"/>
    <x v="1"/>
    <x v="1"/>
    <x v="1"/>
    <s v="Bohemian Rhapsody"/>
    <n v="94385"/>
    <n v="59"/>
    <n v="63"/>
    <n v="1"/>
    <n v="45"/>
  </r>
  <r>
    <n v="3"/>
    <s v="Rosie"/>
    <n v="14"/>
    <s v="female"/>
    <s v="mated"/>
    <s v="beige"/>
    <s v="Virgo"/>
    <s v="North Meadow"/>
    <n v="15.96"/>
    <n v="13.37"/>
    <s v="rough"/>
    <n v="633"/>
    <n v="72"/>
    <n v="140"/>
    <x v="2"/>
    <n v="11"/>
    <s v="listening to the wind"/>
    <x v="2"/>
    <x v="2"/>
    <x v="2"/>
    <s v="I Will Always Love Ewe"/>
    <n v="35434"/>
    <n v="41"/>
    <n v="16"/>
    <n v="17"/>
    <n v="70"/>
  </r>
  <r>
    <n v="4"/>
    <s v="Luna"/>
    <n v="10"/>
    <s v="female"/>
    <s v="situationship"/>
    <s v="white"/>
    <s v="Libra"/>
    <s v="Cliffside Spa"/>
    <n v="22.81"/>
    <n v="2.5299999999999998"/>
    <s v="smooth"/>
    <n v="1213"/>
    <n v="73"/>
    <n v="79"/>
    <x v="1"/>
    <n v="6"/>
    <s v="meditating on a hill"/>
    <x v="2"/>
    <x v="3"/>
    <x v="2"/>
    <s v="Dreams"/>
    <n v="22975"/>
    <n v="20"/>
    <n v="52"/>
    <n v="31"/>
    <n v="45"/>
  </r>
  <r>
    <n v="5"/>
    <s v="Penny"/>
    <n v="18"/>
    <s v="female"/>
    <s v="mated"/>
    <s v="gray"/>
    <s v="Pisces"/>
    <s v="Abandoned Barn"/>
    <n v="41.17"/>
    <n v="3.9"/>
    <s v="smooth"/>
    <n v="7753"/>
    <n v="75"/>
    <n v="89"/>
    <x v="0"/>
    <n v="12"/>
    <s v="reorganizing pebbles"/>
    <x v="0"/>
    <x v="4"/>
    <x v="2"/>
    <s v="Jolene"/>
    <n v="8905"/>
    <n v="42"/>
    <n v="2"/>
    <n v="59"/>
    <n v="30"/>
  </r>
  <r>
    <n v="6"/>
    <s v="Buck"/>
    <n v="12"/>
    <s v="male"/>
    <s v="mated"/>
    <s v="green"/>
    <s v="Aries"/>
    <s v="North Meadow"/>
    <n v="22.12"/>
    <n v="11.57"/>
    <s v="coarse"/>
    <n v="7301"/>
    <n v="65"/>
    <n v="65"/>
    <x v="0"/>
    <n v="0"/>
    <s v="dominating the salt lick"/>
    <x v="2"/>
    <x v="4"/>
    <x v="1"/>
    <s v="Total Eclipse of the Hoof"/>
    <n v="6350"/>
    <n v="6"/>
    <n v="93"/>
    <n v="50"/>
    <n v="30"/>
  </r>
  <r>
    <n v="7"/>
    <s v="Millie"/>
    <n v="2"/>
    <s v="female"/>
    <s v="it's complicated"/>
    <s v="yellow"/>
    <s v="Virgo"/>
    <s v="Abandoned Barn"/>
    <n v="34.65"/>
    <n v="23.22"/>
    <s v="soft"/>
    <n v="1391"/>
    <n v="103"/>
    <n v="67"/>
    <x v="2"/>
    <n v="12"/>
    <s v="chasing butterflies"/>
    <x v="2"/>
    <x v="5"/>
    <x v="2"/>
    <s v="Bohemian Rhapsody"/>
    <n v="87306"/>
    <n v="69"/>
    <n v="69"/>
    <n v="54"/>
    <n v="70"/>
  </r>
  <r>
    <n v="8"/>
    <s v="Hank"/>
    <n v="13"/>
    <s v="male"/>
    <s v="mated"/>
    <s v="brown"/>
    <s v="Sagittarius"/>
    <s v="Cliffside Spa"/>
    <n v="30.28"/>
    <n v="0.78"/>
    <s v="fluffy"/>
    <n v="8975"/>
    <n v="80"/>
    <n v="154"/>
    <x v="1"/>
    <n v="7"/>
    <s v="chewing everything"/>
    <x v="2"/>
    <x v="6"/>
    <x v="1"/>
    <s v="Don't Stop Bleating"/>
    <n v="25803"/>
    <n v="12"/>
    <n v="60"/>
    <n v="42"/>
    <n v="45"/>
  </r>
  <r>
    <n v="9"/>
    <s v="Gus"/>
    <n v="7"/>
    <s v="male"/>
    <s v="mated"/>
    <s v="tan"/>
    <s v="Aquarius"/>
    <s v="North Meadow"/>
    <n v="32.83"/>
    <n v="12.71"/>
    <s v="coarse"/>
    <n v="2923"/>
    <n v="30"/>
    <n v="139"/>
    <x v="3"/>
    <n v="11"/>
    <s v="practicing yoga"/>
    <x v="1"/>
    <x v="7"/>
    <x v="0"/>
    <s v="Africa"/>
    <n v="31274"/>
    <n v="18"/>
    <n v="26"/>
    <n v="43"/>
    <n v="55"/>
  </r>
  <r>
    <n v="10"/>
    <s v="Ruby"/>
    <n v="11"/>
    <s v="female"/>
    <s v="mated"/>
    <s v="green"/>
    <s v="Virgo"/>
    <s v="Cliffside Spa"/>
    <n v="15.39"/>
    <n v="19.09"/>
    <s v="smooth"/>
    <n v="14934"/>
    <n v="59"/>
    <n v="91"/>
    <x v="1"/>
    <n v="1"/>
    <s v="artistic bleating"/>
    <x v="0"/>
    <x v="8"/>
    <x v="0"/>
    <s v="Total Eclipse of the Hoof"/>
    <n v="70834"/>
    <n v="85"/>
    <n v="15"/>
    <n v="79"/>
    <n v="45"/>
  </r>
  <r>
    <n v="11"/>
    <s v="Nellie"/>
    <n v="11"/>
    <s v="female"/>
    <s v="mated"/>
    <s v="white"/>
    <s v="Taurus"/>
    <s v="Mud Pit"/>
    <n v="2.96"/>
    <n v="24.61"/>
    <s v="sparkly"/>
    <n v="1697"/>
    <n v="40"/>
    <n v="137"/>
    <x v="0"/>
    <n v="5"/>
    <s v="screaming at nothing"/>
    <x v="0"/>
    <x v="9"/>
    <x v="0"/>
    <s v="Africa"/>
    <n v="64929"/>
    <n v="41"/>
    <n v="40"/>
    <n v="28"/>
    <n v="30"/>
  </r>
  <r>
    <n v="12"/>
    <s v="Charlie"/>
    <n v="14"/>
    <s v="male"/>
    <s v="it's complicated"/>
    <s v="gray"/>
    <s v="Virgo"/>
    <s v="Mud Pit"/>
    <n v="35.979999999999997"/>
    <n v="13.21"/>
    <s v="smooth"/>
    <n v="6711"/>
    <n v="117"/>
    <n v="131"/>
    <x v="4"/>
    <n v="0"/>
    <s v="headbutting"/>
    <x v="0"/>
    <x v="10"/>
    <x v="0"/>
    <s v="Hotel California"/>
    <n v="31713"/>
    <n v="94"/>
    <n v="85"/>
    <n v="71"/>
    <n v="90"/>
  </r>
  <r>
    <n v="13"/>
    <s v="Otis"/>
    <n v="13"/>
    <s v="male"/>
    <s v="mated"/>
    <s v="brown"/>
    <s v="Capricorn"/>
    <s v="Cliffside Spa"/>
    <n v="3.62"/>
    <n v="14.91"/>
    <s v="soft"/>
    <n v="2159"/>
    <n v="91"/>
    <n v="63"/>
    <x v="2"/>
    <n v="6"/>
    <s v="starting drama"/>
    <x v="0"/>
    <x v="11"/>
    <x v="0"/>
    <s v="Wonderwall"/>
    <n v="88486"/>
    <n v="80"/>
    <n v="55"/>
    <n v="24"/>
    <n v="70"/>
  </r>
  <r>
    <n v="14"/>
    <s v="Hazel"/>
    <n v="15"/>
    <s v="female"/>
    <s v="mated"/>
    <s v="green"/>
    <s v="Aquarius"/>
    <s v="Abandoned Barn"/>
    <n v="5.65"/>
    <n v="3.14"/>
    <s v="fluffy"/>
    <n v="14150"/>
    <n v="22"/>
    <n v="121"/>
    <x v="2"/>
    <n v="8"/>
    <s v="screaming at nothing"/>
    <x v="1"/>
    <x v="12"/>
    <x v="2"/>
    <s v="Dreams"/>
    <n v="76260"/>
    <n v="2"/>
    <n v="79"/>
    <n v="15"/>
    <n v="70"/>
  </r>
  <r>
    <n v="15"/>
    <s v="Earl"/>
    <n v="16"/>
    <s v="male"/>
    <s v="it's complicated"/>
    <s v="yellow"/>
    <s v="Aries"/>
    <s v="Moon Pasture"/>
    <n v="17.29"/>
    <n v="14.57"/>
    <s v="coarse"/>
    <n v="4814"/>
    <n v="77"/>
    <n v="153"/>
    <x v="2"/>
    <n v="2"/>
    <s v="reorganizing pebbles"/>
    <x v="3"/>
    <x v="13"/>
    <x v="2"/>
    <s v="Bleat It"/>
    <n v="77716"/>
    <n v="35"/>
    <n v="55"/>
    <n v="39"/>
    <n v="70"/>
  </r>
  <r>
    <n v="16"/>
    <s v="Annie"/>
    <n v="8"/>
    <s v="female"/>
    <s v="it's complicated"/>
    <s v="gray"/>
    <s v="Sagittarius"/>
    <s v="Abandoned Barn"/>
    <n v="16.350000000000001"/>
    <n v="14.77"/>
    <s v="sleek"/>
    <n v="9860"/>
    <n v="55"/>
    <n v="136"/>
    <x v="3"/>
    <n v="8"/>
    <s v="chewing everything"/>
    <x v="1"/>
    <x v="1"/>
    <x v="1"/>
    <s v="Poker Face"/>
    <n v="22291"/>
    <n v="42"/>
    <n v="83"/>
    <n v="83"/>
    <n v="55"/>
  </r>
  <r>
    <n v="17"/>
    <s v="Clover"/>
    <n v="12"/>
    <s v="female"/>
    <s v="mated"/>
    <s v="green"/>
    <s v="Leo"/>
    <s v="North Meadow"/>
    <n v="7.09"/>
    <n v="2.6"/>
    <s v="silky"/>
    <n v="10172"/>
    <n v="58"/>
    <n v="114"/>
    <x v="2"/>
    <n v="4"/>
    <s v="practicing yoga"/>
    <x v="0"/>
    <x v="14"/>
    <x v="1"/>
    <s v="Uptown Funk"/>
    <n v="69408"/>
    <n v="23"/>
    <n v="34"/>
    <n v="20"/>
    <n v="70"/>
  </r>
  <r>
    <n v="18"/>
    <s v="Ralph"/>
    <n v="1"/>
    <s v="male"/>
    <s v="single"/>
    <s v="brown"/>
    <s v="Taurus"/>
    <s v="Abandoned Barn"/>
    <n v="12.67"/>
    <n v="1.98"/>
    <s v="smooth"/>
    <n v="1646"/>
    <n v="77"/>
    <n v="125"/>
    <x v="2"/>
    <n v="3"/>
    <s v="napping in sunlight"/>
    <x v="3"/>
    <x v="8"/>
    <x v="1"/>
    <s v="Take on Me"/>
    <n v="61575"/>
    <n v="18"/>
    <n v="39"/>
    <n v="28"/>
    <n v="70"/>
  </r>
  <r>
    <n v="19"/>
    <s v="Fern"/>
    <n v="3"/>
    <s v="female"/>
    <s v="it's complicated"/>
    <s v="white"/>
    <s v="Aries"/>
    <s v="North Meadow"/>
    <n v="18.440000000000001"/>
    <n v="1.68"/>
    <s v="muddy"/>
    <n v="3671"/>
    <n v="82"/>
    <n v="95"/>
    <x v="0"/>
    <n v="4"/>
    <s v="chewing everything"/>
    <x v="1"/>
    <x v="15"/>
    <x v="2"/>
    <s v="Mr. Brightside"/>
    <n v="86575"/>
    <n v="95"/>
    <n v="61"/>
    <n v="47"/>
    <n v="30"/>
  </r>
  <r>
    <n v="20"/>
    <s v="Bonnie"/>
    <n v="1"/>
    <s v="female"/>
    <s v="it's complicated"/>
    <s v="green"/>
    <s v="Aries"/>
    <s v="Cliffside Spa"/>
    <n v="10.59"/>
    <n v="7.49"/>
    <s v="coarse"/>
    <n v="12823"/>
    <n v="51"/>
    <n v="108"/>
    <x v="0"/>
    <n v="10"/>
    <s v="practicing yoga"/>
    <x v="0"/>
    <x v="15"/>
    <x v="1"/>
    <s v="Livin' la Vida Loca"/>
    <n v="79867"/>
    <n v="29"/>
    <n v="63"/>
    <n v="41"/>
    <n v="30"/>
  </r>
  <r>
    <n v="21"/>
    <s v="Joe"/>
    <n v="5"/>
    <s v="male"/>
    <s v="it's complicated"/>
    <s v="yellow"/>
    <s v="Aries"/>
    <s v="Mud Pit"/>
    <n v="21.48"/>
    <n v="0.35"/>
    <s v="patchy"/>
    <n v="4161"/>
    <n v="39"/>
    <n v="116"/>
    <x v="2"/>
    <n v="5"/>
    <s v="reorganizing pebbles"/>
    <x v="0"/>
    <x v="16"/>
    <x v="2"/>
    <s v="Billie Jean"/>
    <n v="23177"/>
    <n v="10"/>
    <n v="22"/>
    <n v="80"/>
    <n v="70"/>
  </r>
  <r>
    <n v="22"/>
    <s v="Clyde"/>
    <n v="8"/>
    <s v="male"/>
    <s v="it's complicated"/>
    <s v="brown"/>
    <s v="Aries"/>
    <s v="Moon Pasture"/>
    <n v="23.81"/>
    <n v="2.4"/>
    <s v="soft"/>
    <n v="9076"/>
    <n v="98"/>
    <n v="114"/>
    <x v="1"/>
    <n v="10"/>
    <s v="screaming at nothing"/>
    <x v="0"/>
    <x v="1"/>
    <x v="1"/>
    <s v="Baahemian Rhapsody"/>
    <n v="72834"/>
    <n v="73"/>
    <n v="44"/>
    <n v="68"/>
    <n v="45"/>
  </r>
  <r>
    <n v="23"/>
    <s v="Sam"/>
    <n v="13"/>
    <s v="male"/>
    <s v="mated"/>
    <s v="green"/>
    <s v="Gemini"/>
    <s v="Moon Pasture"/>
    <n v="28.06"/>
    <n v="22.89"/>
    <s v="sleek"/>
    <n v="13723"/>
    <n v="37"/>
    <n v="134"/>
    <x v="1"/>
    <n v="3"/>
    <s v="stomping on grass"/>
    <x v="0"/>
    <x v="17"/>
    <x v="1"/>
    <s v="Shake It Off"/>
    <n v="735"/>
    <n v="99"/>
    <n v="3"/>
    <n v="53"/>
    <n v="45"/>
  </r>
  <r>
    <n v="24"/>
    <s v="Tucker"/>
    <n v="15"/>
    <s v="male"/>
    <s v="mated"/>
    <s v="gray"/>
    <s v="Libra"/>
    <s v="Abandoned Barn"/>
    <n v="18.16"/>
    <n v="12.63"/>
    <s v="soft"/>
    <n v="5889"/>
    <n v="41"/>
    <n v="113"/>
    <x v="2"/>
    <n v="3"/>
    <s v="screaming at nothing"/>
    <x v="0"/>
    <x v="18"/>
    <x v="0"/>
    <s v="Billie Jean"/>
    <n v="71358"/>
    <n v="67"/>
    <n v="28"/>
    <n v="20"/>
    <n v="70"/>
  </r>
  <r>
    <n v="25"/>
    <s v="Olive"/>
    <n v="11"/>
    <s v="female"/>
    <s v="mated"/>
    <s v="white"/>
    <s v="Aquarius"/>
    <s v="North Meadow"/>
    <n v="33.6"/>
    <n v="11.76"/>
    <s v="smooth"/>
    <n v="5003"/>
    <n v="80"/>
    <n v="155"/>
    <x v="2"/>
    <n v="5"/>
    <s v="chewing everything"/>
    <x v="1"/>
    <x v="19"/>
    <x v="2"/>
    <s v="I Will Always Love Ewe"/>
    <n v="53523"/>
    <n v="44"/>
    <n v="15"/>
    <n v="75"/>
    <n v="70"/>
  </r>
  <r>
    <n v="26"/>
    <s v="Mabel"/>
    <n v="5"/>
    <s v="female"/>
    <s v="mated"/>
    <s v="brown"/>
    <s v="Sagittarius"/>
    <s v="Moon Pasture"/>
    <n v="2.69"/>
    <n v="19.95"/>
    <s v="soft"/>
    <n v="10683"/>
    <n v="57"/>
    <n v="79"/>
    <x v="2"/>
    <n v="1"/>
    <s v="climbing rocks"/>
    <x v="1"/>
    <x v="20"/>
    <x v="1"/>
    <s v="Mr. Brightside"/>
    <n v="72511"/>
    <n v="96"/>
    <n v="52"/>
    <n v="41"/>
    <n v="70"/>
  </r>
  <r>
    <n v="27"/>
    <s v="Sadie"/>
    <n v="1"/>
    <s v="female"/>
    <s v="mated"/>
    <s v="tan"/>
    <s v="Aquarius"/>
    <s v="Cliffside Spa"/>
    <n v="39.520000000000003"/>
    <n v="17.440000000000001"/>
    <s v="coarse"/>
    <n v="9398"/>
    <n v="62"/>
    <n v="73"/>
    <x v="3"/>
    <n v="6"/>
    <s v="staring into the void"/>
    <x v="0"/>
    <x v="21"/>
    <x v="0"/>
    <s v="Total Eclipse of the Hoof"/>
    <n v="8264"/>
    <n v="28"/>
    <n v="11"/>
    <n v="27"/>
    <n v="55"/>
  </r>
  <r>
    <n v="28"/>
    <s v="Josie"/>
    <n v="17"/>
    <s v="female"/>
    <s v="single"/>
    <s v="green"/>
    <s v="Sagittarius"/>
    <s v="Mud Pit"/>
    <n v="1.25"/>
    <n v="14.05"/>
    <s v="soft"/>
    <n v="1034"/>
    <n v="107"/>
    <n v="102"/>
    <x v="3"/>
    <n v="10"/>
    <s v="listening to the wind"/>
    <x v="3"/>
    <x v="22"/>
    <x v="2"/>
    <s v="Don't Stop Bleating"/>
    <n v="9597"/>
    <n v="71"/>
    <n v="94"/>
    <n v="20"/>
    <n v="55"/>
  </r>
  <r>
    <n v="29"/>
    <s v="Wally"/>
    <n v="2"/>
    <s v="male"/>
    <s v="single"/>
    <s v="gray"/>
    <s v="Pisces"/>
    <s v="North Meadow"/>
    <n v="23.35"/>
    <n v="12.57"/>
    <s v="soft"/>
    <n v="5415"/>
    <n v="52"/>
    <n v="124"/>
    <x v="4"/>
    <n v="10"/>
    <s v="stealing snacks"/>
    <x v="2"/>
    <x v="23"/>
    <x v="1"/>
    <s v="We Will Bleat You"/>
    <n v="73019"/>
    <n v="38"/>
    <n v="35"/>
    <n v="97"/>
    <n v="90"/>
  </r>
  <r>
    <n v="30"/>
    <s v="Ellie"/>
    <n v="2"/>
    <s v="female"/>
    <s v="mated"/>
    <s v="brown"/>
    <s v="Pisces"/>
    <s v="North Meadow"/>
    <n v="43.8"/>
    <n v="7.99"/>
    <s v="smooth"/>
    <n v="13246"/>
    <n v="66"/>
    <n v="61"/>
    <x v="2"/>
    <n v="9"/>
    <s v="chasing butterflies"/>
    <x v="3"/>
    <x v="9"/>
    <x v="0"/>
    <s v="Baahemian Rhapsody"/>
    <n v="76953"/>
    <n v="77"/>
    <n v="16"/>
    <n v="58"/>
    <n v="70"/>
  </r>
  <r>
    <n v="31"/>
    <s v="Bo"/>
    <n v="3"/>
    <s v="male"/>
    <s v="single"/>
    <s v="green"/>
    <s v="Cancer"/>
    <s v="Mud Pit"/>
    <n v="33.299999999999997"/>
    <n v="9.77"/>
    <s v="sleek"/>
    <n v="2015"/>
    <n v="39"/>
    <n v="155"/>
    <x v="1"/>
    <n v="11"/>
    <s v="listening to the wind"/>
    <x v="0"/>
    <x v="15"/>
    <x v="1"/>
    <s v="Wonderwall"/>
    <n v="4283"/>
    <n v="82"/>
    <n v="63"/>
    <n v="44"/>
    <n v="45"/>
  </r>
  <r>
    <n v="32"/>
    <s v="Abby"/>
    <n v="11"/>
    <s v="female"/>
    <s v="single"/>
    <s v="beige"/>
    <s v="Virgo"/>
    <s v="North Meadow"/>
    <n v="14.11"/>
    <n v="20.93"/>
    <s v="coarse"/>
    <n v="11825"/>
    <n v="51"/>
    <n v="74"/>
    <x v="4"/>
    <n v="8"/>
    <s v="stomping on grass"/>
    <x v="1"/>
    <x v="24"/>
    <x v="1"/>
    <s v="Africa"/>
    <n v="2128"/>
    <n v="19"/>
    <n v="61"/>
    <n v="5"/>
    <n v="90"/>
  </r>
  <r>
    <n v="33"/>
    <s v="Juniper"/>
    <n v="8"/>
    <s v="nonbinary"/>
    <s v="situationship"/>
    <s v="yellow"/>
    <s v="Scorpio"/>
    <s v="Mud Pit"/>
    <n v="27.29"/>
    <n v="23.07"/>
    <s v="shaggy"/>
    <n v="10380"/>
    <n v="91"/>
    <n v="155"/>
    <x v="3"/>
    <n v="1"/>
    <s v="reorganizing pebbles"/>
    <x v="1"/>
    <x v="25"/>
    <x v="1"/>
    <s v="Take on Me"/>
    <n v="91476"/>
    <n v="41"/>
    <n v="99"/>
    <n v="2"/>
    <n v="55"/>
  </r>
  <r>
    <n v="34"/>
    <s v="Frank"/>
    <n v="1"/>
    <s v="male"/>
    <s v="situationship"/>
    <s v="gray"/>
    <s v="Gemini"/>
    <s v="Cliffside Spa"/>
    <n v="22.65"/>
    <n v="16.21"/>
    <s v="coarse"/>
    <n v="6484"/>
    <n v="20"/>
    <n v="100"/>
    <x v="4"/>
    <n v="7"/>
    <s v="chasing butterflies"/>
    <x v="2"/>
    <x v="7"/>
    <x v="1"/>
    <s v="All the single Goats"/>
    <n v="45567"/>
    <n v="71"/>
    <n v="24"/>
    <n v="31"/>
    <n v="90"/>
  </r>
  <r>
    <n v="35"/>
    <s v="Rex"/>
    <n v="11"/>
    <s v="male"/>
    <s v="mated"/>
    <s v="white"/>
    <s v="Gemini"/>
    <s v="North Meadow"/>
    <n v="18.559999999999999"/>
    <n v="5.16"/>
    <s v="soft"/>
    <n v="12186"/>
    <n v="35"/>
    <n v="100"/>
    <x v="1"/>
    <n v="6"/>
    <s v="screaming at nothing"/>
    <x v="3"/>
    <x v="26"/>
    <x v="1"/>
    <s v="Africa"/>
    <n v="62685"/>
    <n v="77"/>
    <n v="23"/>
    <n v="6"/>
    <n v="45"/>
  </r>
  <r>
    <n v="36"/>
    <s v="Betsy"/>
    <n v="16"/>
    <s v="female"/>
    <s v="single"/>
    <s v="brown"/>
    <s v="Scorpio"/>
    <s v="Cliffside Spa"/>
    <n v="30.72"/>
    <n v="14.3"/>
    <s v="coarse"/>
    <n v="13363"/>
    <n v="114"/>
    <n v="139"/>
    <x v="3"/>
    <n v="11"/>
    <s v="headbutting"/>
    <x v="3"/>
    <x v="27"/>
    <x v="0"/>
    <s v="Jolene"/>
    <n v="57590"/>
    <n v="11"/>
    <n v="90"/>
    <n v="74"/>
    <n v="55"/>
  </r>
  <r>
    <n v="37"/>
    <s v="Nash"/>
    <n v="4"/>
    <s v="male"/>
    <s v="it's complicated"/>
    <s v="green"/>
    <s v="Sagittarius"/>
    <s v="Cliffside Spa"/>
    <n v="37.729999999999997"/>
    <n v="14.71"/>
    <s v="dusty"/>
    <n v="10715"/>
    <n v="108"/>
    <n v="75"/>
    <x v="1"/>
    <n v="3"/>
    <s v="climbing rocks"/>
    <x v="2"/>
    <x v="28"/>
    <x v="1"/>
    <s v="Every Bleat You Take"/>
    <n v="47226"/>
    <n v="88"/>
    <n v="28"/>
    <n v="45"/>
    <n v="45"/>
  </r>
  <r>
    <n v="38"/>
    <s v="Rowan"/>
    <n v="16"/>
    <s v="nonbinary"/>
    <s v="it's complicated"/>
    <s v="gray"/>
    <s v="Libra"/>
    <s v="Cliffside Spa"/>
    <n v="32.76"/>
    <n v="15.35"/>
    <s v="soft"/>
    <n v="11814"/>
    <n v="40"/>
    <n v="118"/>
    <x v="1"/>
    <n v="2"/>
    <s v="climbing rocks"/>
    <x v="1"/>
    <x v="29"/>
    <x v="0"/>
    <s v="Smells Like Teen Spirit"/>
    <n v="69785"/>
    <n v="89"/>
    <n v="28"/>
    <n v="75"/>
    <n v="45"/>
  </r>
  <r>
    <n v="39"/>
    <s v="Tom"/>
    <n v="11"/>
    <s v="male"/>
    <s v="situationship"/>
    <s v="green"/>
    <s v="Sagittarius"/>
    <s v="Mud Pit"/>
    <n v="20.309999999999999"/>
    <n v="12.87"/>
    <s v="patchy"/>
    <n v="7774"/>
    <n v="78"/>
    <n v="154"/>
    <x v="3"/>
    <n v="5"/>
    <s v="stomping on grass"/>
    <x v="1"/>
    <x v="30"/>
    <x v="0"/>
    <s v="All the single Goats"/>
    <n v="21931"/>
    <n v="31"/>
    <n v="20"/>
    <n v="51"/>
    <n v="55"/>
  </r>
  <r>
    <n v="40"/>
    <s v="Willow"/>
    <n v="4"/>
    <s v="female"/>
    <s v="mated"/>
    <s v="brown"/>
    <s v="Taurus"/>
    <s v="Mud Pit"/>
    <n v="24.73"/>
    <n v="10.96"/>
    <s v="patchy"/>
    <n v="11356"/>
    <n v="94"/>
    <n v="124"/>
    <x v="2"/>
    <n v="9"/>
    <s v="climbing rocks"/>
    <x v="0"/>
    <x v="31"/>
    <x v="2"/>
    <s v="Thunderstruck"/>
    <n v="28869"/>
    <n v="99"/>
    <n v="4"/>
    <n v="30"/>
    <n v="70"/>
  </r>
  <r>
    <n v="41"/>
    <s v="Harvey"/>
    <n v="4"/>
    <s v="male"/>
    <s v="mated"/>
    <s v="yellow"/>
    <s v="Leo"/>
    <s v="Cliffside Spa"/>
    <n v="24.46"/>
    <n v="10.31"/>
    <s v="coarse"/>
    <n v="14624"/>
    <n v="63"/>
    <n v="157"/>
    <x v="2"/>
    <n v="1"/>
    <s v="chasing butterflies"/>
    <x v="2"/>
    <x v="32"/>
    <x v="0"/>
    <s v="Shake It Off"/>
    <n v="55159"/>
    <n v="12"/>
    <n v="90"/>
    <n v="32"/>
    <n v="70"/>
  </r>
  <r>
    <n v="42"/>
    <s v="Marvin"/>
    <n v="2"/>
    <s v="male"/>
    <s v="situationship"/>
    <s v="tan"/>
    <s v="Libra"/>
    <s v="Cliffside Spa"/>
    <n v="16.91"/>
    <n v="15.49"/>
    <s v="scruffy"/>
    <n v="1895"/>
    <n v="36"/>
    <n v="76"/>
    <x v="2"/>
    <n v="4"/>
    <s v="practicing yoga"/>
    <x v="3"/>
    <x v="33"/>
    <x v="0"/>
    <s v="Stayin' Afloat"/>
    <n v="72326"/>
    <n v="99"/>
    <n v="53"/>
    <n v="97"/>
    <n v="70"/>
  </r>
  <r>
    <n v="43"/>
    <s v="Lou"/>
    <n v="3"/>
    <s v="female"/>
    <s v="it's complicated"/>
    <s v="green"/>
    <s v="Pisces"/>
    <s v="Cliffside Spa"/>
    <n v="15.33"/>
    <n v="16"/>
    <s v="coarse"/>
    <n v="7896"/>
    <n v="100"/>
    <n v="130"/>
    <x v="0"/>
    <n v="0"/>
    <s v="staring into the void"/>
    <x v="0"/>
    <x v="34"/>
    <x v="2"/>
    <s v="Bleat It"/>
    <n v="83863"/>
    <n v="49"/>
    <n v="10"/>
    <n v="97"/>
    <n v="30"/>
  </r>
  <r>
    <n v="44"/>
    <s v="Chester"/>
    <n v="18"/>
    <s v="male"/>
    <s v="it's complicated"/>
    <s v="white"/>
    <s v="Cancer"/>
    <s v="Abandoned Barn"/>
    <n v="34.83"/>
    <n v="8.41"/>
    <s v="coarse"/>
    <n v="5451"/>
    <n v="89"/>
    <n v="144"/>
    <x v="3"/>
    <n v="0"/>
    <s v="practicing yoga"/>
    <x v="3"/>
    <x v="15"/>
    <x v="2"/>
    <s v="Bohemian Rhapsody"/>
    <n v="73891"/>
    <n v="36"/>
    <n v="54"/>
    <n v="81"/>
    <n v="55"/>
  </r>
  <r>
    <n v="45"/>
    <s v="Levi"/>
    <n v="9"/>
    <s v="male"/>
    <s v="single"/>
    <s v="brown"/>
    <s v="Scorpio"/>
    <s v="Cliffside Spa"/>
    <n v="5.77"/>
    <n v="11.38"/>
    <s v="soft"/>
    <n v="2356"/>
    <n v="44"/>
    <n v="87"/>
    <x v="0"/>
    <n v="2"/>
    <s v="reorganizing pebbles"/>
    <x v="1"/>
    <x v="4"/>
    <x v="1"/>
    <s v="Bleat It"/>
    <n v="88029"/>
    <n v="5"/>
    <n v="81"/>
    <n v="43"/>
    <n v="30"/>
  </r>
  <r>
    <n v="46"/>
    <s v="Grace"/>
    <n v="2"/>
    <s v="female"/>
    <s v="single"/>
    <s v="gray"/>
    <s v="Libra"/>
    <s v="Abandoned Barn"/>
    <n v="13.62"/>
    <n v="8.69"/>
    <s v="patchy"/>
    <n v="738"/>
    <n v="107"/>
    <n v="96"/>
    <x v="1"/>
    <n v="2"/>
    <s v="starting drama"/>
    <x v="2"/>
    <x v="35"/>
    <x v="1"/>
    <s v="Wonderwall"/>
    <n v="31769"/>
    <n v="12"/>
    <n v="34"/>
    <n v="26"/>
    <n v="45"/>
  </r>
  <r>
    <n v="47"/>
    <s v="Ben"/>
    <n v="9"/>
    <s v="male"/>
    <s v="it's complicated"/>
    <s v="green"/>
    <s v="Virgo"/>
    <s v="Abandoned Barn"/>
    <n v="29.88"/>
    <n v="21.82"/>
    <s v="sleek"/>
    <n v="9300"/>
    <n v="56"/>
    <n v="66"/>
    <x v="2"/>
    <n v="7"/>
    <s v="meditating on a hill"/>
    <x v="2"/>
    <x v="36"/>
    <x v="1"/>
    <s v="Poker Face"/>
    <n v="22180"/>
    <n v="42"/>
    <n v="2"/>
    <n v="20"/>
    <n v="70"/>
  </r>
  <r>
    <n v="48"/>
    <s v="Lucy"/>
    <n v="12"/>
    <s v="female"/>
    <s v="single"/>
    <s v="yellow"/>
    <s v="Cancer"/>
    <s v="North Meadow"/>
    <n v="24.6"/>
    <n v="9.66"/>
    <s v="fluffy"/>
    <n v="12586"/>
    <n v="20"/>
    <n v="84"/>
    <x v="4"/>
    <n v="3"/>
    <s v="meditating on a hill"/>
    <x v="3"/>
    <x v="37"/>
    <x v="2"/>
    <s v="Uptown Funk"/>
    <n v="31342"/>
    <n v="52"/>
    <n v="25"/>
    <n v="70"/>
    <n v="90"/>
  </r>
  <r>
    <n v="49"/>
    <s v="Rat"/>
    <n v="13"/>
    <s v="male"/>
    <s v="it's complicated"/>
    <s v="brown"/>
    <s v="Scorpio"/>
    <s v="Abandoned Barn"/>
    <n v="28.77"/>
    <n v="11.64"/>
    <s v="smooth"/>
    <n v="7218"/>
    <n v="83"/>
    <n v="127"/>
    <x v="4"/>
    <n v="12"/>
    <s v="napping in sunlight"/>
    <x v="3"/>
    <x v="38"/>
    <x v="2"/>
    <s v="Poker Face"/>
    <n v="87972"/>
    <n v="26"/>
    <n v="79"/>
    <n v="97"/>
    <n v="90"/>
  </r>
  <r>
    <n v="50"/>
    <s v="Maisie"/>
    <n v="13"/>
    <s v="female"/>
    <s v="situationship"/>
    <s v="green"/>
    <s v="Capricorn"/>
    <s v="Abandoned Barn"/>
    <n v="10.36"/>
    <n v="5.57"/>
    <s v="soft"/>
    <n v="10984"/>
    <n v="47"/>
    <n v="118"/>
    <x v="3"/>
    <n v="10"/>
    <s v="climbing rocks"/>
    <x v="1"/>
    <x v="12"/>
    <x v="0"/>
    <s v="I Will Always Love Ewe"/>
    <n v="95007"/>
    <n v="35"/>
    <n v="61"/>
    <n v="64"/>
    <n v="55"/>
  </r>
  <r>
    <n v="51"/>
    <s v="Curt"/>
    <n v="13"/>
    <s v="male"/>
    <s v="mated"/>
    <s v="gray"/>
    <s v="Taurus"/>
    <s v="North Meadow"/>
    <n v="32.85"/>
    <n v="24.31"/>
    <s v="patchy"/>
    <n v="14927"/>
    <n v="119"/>
    <n v="102"/>
    <x v="2"/>
    <n v="0"/>
    <s v="screaming at nothing"/>
    <x v="0"/>
    <x v="39"/>
    <x v="1"/>
    <s v="Shake It Off"/>
    <n v="12950"/>
    <n v="36"/>
    <n v="48"/>
    <n v="12"/>
    <n v="70"/>
  </r>
  <r>
    <n v="52"/>
    <s v="Dolly"/>
    <n v="7"/>
    <s v="female"/>
    <s v="mated"/>
    <s v="white"/>
    <s v="Aquarius"/>
    <s v="North Meadow"/>
    <n v="29.78"/>
    <n v="20.88"/>
    <s v="smooth"/>
    <n v="2824"/>
    <n v="88"/>
    <n v="110"/>
    <x v="4"/>
    <n v="2"/>
    <s v="napping in sunlight"/>
    <x v="1"/>
    <x v="24"/>
    <x v="0"/>
    <s v="Dancing Queen"/>
    <n v="8464"/>
    <n v="81"/>
    <n v="77"/>
    <n v="80"/>
    <n v="90"/>
  </r>
  <r>
    <n v="53"/>
    <s v="Clay"/>
    <n v="17"/>
    <s v="male"/>
    <s v="single"/>
    <s v="brown"/>
    <s v="Capricorn"/>
    <s v="Mud Pit"/>
    <n v="20.22"/>
    <n v="11.11"/>
    <s v="soft"/>
    <n v="10464"/>
    <n v="91"/>
    <n v="90"/>
    <x v="4"/>
    <n v="4"/>
    <s v="staring into the void"/>
    <x v="2"/>
    <x v="8"/>
    <x v="1"/>
    <s v="Bleat It"/>
    <n v="14836"/>
    <n v="25"/>
    <n v="90"/>
    <n v="59"/>
    <n v="90"/>
  </r>
  <r>
    <n v="54"/>
    <s v="Dottie"/>
    <n v="14"/>
    <s v="female"/>
    <s v="situationship"/>
    <s v="green"/>
    <s v="Libra"/>
    <s v="Mud Pit"/>
    <n v="44.4"/>
    <n v="12.64"/>
    <s v="mud-slick"/>
    <n v="5982"/>
    <n v="78"/>
    <n v="95"/>
    <x v="0"/>
    <n v="6"/>
    <s v="chasing butterflies"/>
    <x v="1"/>
    <x v="38"/>
    <x v="1"/>
    <s v="Baahemian Rhapsody"/>
    <n v="75766"/>
    <n v="11"/>
    <n v="71"/>
    <n v="68"/>
    <n v="30"/>
  </r>
  <r>
    <n v="55"/>
    <s v="Bill"/>
    <n v="16"/>
    <s v="male"/>
    <s v="situationship"/>
    <s v="yellow"/>
    <s v="Aries"/>
    <s v="Abandoned Barn"/>
    <n v="32.49"/>
    <n v="19.850000000000001"/>
    <s v="patchy"/>
    <n v="2278"/>
    <n v="103"/>
    <n v="143"/>
    <x v="4"/>
    <n v="4"/>
    <s v="artistic bleating"/>
    <x v="2"/>
    <x v="10"/>
    <x v="2"/>
    <s v="Thunderstruck"/>
    <n v="57773"/>
    <n v="12"/>
    <n v="14"/>
    <n v="40"/>
    <n v="90"/>
  </r>
  <r>
    <n v="56"/>
    <s v="Ruthie"/>
    <n v="15"/>
    <s v="male"/>
    <s v="situationship"/>
    <s v="brown"/>
    <s v="Aquarius"/>
    <s v="Abandoned Barn"/>
    <n v="30.19"/>
    <n v="12.78"/>
    <s v="patchy"/>
    <n v="11286"/>
    <n v="93"/>
    <n v="155"/>
    <x v="2"/>
    <n v="4"/>
    <s v="chewing everything"/>
    <x v="2"/>
    <x v="40"/>
    <x v="0"/>
    <s v="Grazing in the Wind"/>
    <n v="11150"/>
    <n v="28"/>
    <n v="63"/>
    <n v="77"/>
    <n v="70"/>
  </r>
  <r>
    <n v="57"/>
    <s v="Minnie"/>
    <n v="12"/>
    <s v="female"/>
    <s v="single"/>
    <s v="green"/>
    <s v="Aries"/>
    <s v="Moon Pasture"/>
    <n v="17.3"/>
    <n v="9.98"/>
    <s v="coarse"/>
    <n v="9031"/>
    <n v="23"/>
    <n v="81"/>
    <x v="0"/>
    <n v="8"/>
    <s v="reorganizing pebbles"/>
    <x v="2"/>
    <x v="41"/>
    <x v="0"/>
    <s v="Livin' la Vida Loca"/>
    <n v="3005"/>
    <n v="37"/>
    <n v="43"/>
    <n v="89"/>
    <n v="30"/>
  </r>
  <r>
    <n v="58"/>
    <s v="Oscar"/>
    <n v="14"/>
    <s v="male"/>
    <s v="single"/>
    <s v="gray"/>
    <s v="Cancer"/>
    <s v="Mud Pit"/>
    <n v="28.95"/>
    <n v="1.42"/>
    <s v="soft"/>
    <n v="10974"/>
    <n v="40"/>
    <n v="91"/>
    <x v="4"/>
    <n v="10"/>
    <s v="screaming at nothing"/>
    <x v="1"/>
    <x v="28"/>
    <x v="1"/>
    <s v="Grazing in the Wind"/>
    <n v="83778"/>
    <n v="73"/>
    <n v="12"/>
    <n v="81"/>
    <n v="90"/>
  </r>
  <r>
    <n v="59"/>
    <s v="Finn"/>
    <n v="9"/>
    <s v="male"/>
    <s v="situationship"/>
    <s v="brown"/>
    <s v="Capricorn"/>
    <s v="North Meadow"/>
    <n v="27.02"/>
    <n v="20.059999999999999"/>
    <s v="patchy"/>
    <n v="2181"/>
    <n v="91"/>
    <n v="146"/>
    <x v="1"/>
    <n v="4"/>
    <s v="meditating on a hill"/>
    <x v="3"/>
    <x v="42"/>
    <x v="0"/>
    <s v="Grazing in the Wind"/>
    <n v="15495"/>
    <n v="72"/>
    <n v="3"/>
    <n v="46"/>
    <n v="45"/>
  </r>
  <r>
    <n v="60"/>
    <s v="Moose"/>
    <n v="4"/>
    <s v="existential crisis"/>
    <s v="it's complicated"/>
    <s v="white"/>
    <s v="Virgo"/>
    <s v="Moon Pasture"/>
    <n v="32.76"/>
    <n v="3.11"/>
    <s v="coarse"/>
    <n v="10715"/>
    <n v="112"/>
    <n v="141"/>
    <x v="2"/>
    <n v="7"/>
    <s v="meditating on a hill"/>
    <x v="0"/>
    <x v="43"/>
    <x v="2"/>
    <s v="Africa"/>
    <n v="42118"/>
    <n v="42"/>
    <n v="72"/>
    <n v="87"/>
    <n v="70"/>
  </r>
  <r>
    <n v="61"/>
    <s v="Cricket"/>
    <n v="2"/>
    <s v="existential crisis"/>
    <s v="it's complicated"/>
    <s v="green"/>
    <s v="Scorpio"/>
    <s v="Abandoned Barn"/>
    <n v="24.22"/>
    <n v="8.8000000000000007"/>
    <s v="sleek"/>
    <n v="6856"/>
    <n v="84"/>
    <n v="124"/>
    <x v="1"/>
    <n v="12"/>
    <s v="chasing butterflies"/>
    <x v="1"/>
    <x v="44"/>
    <x v="0"/>
    <s v="Bleat It"/>
    <n v="71180"/>
    <n v="55"/>
    <n v="45"/>
    <n v="45"/>
    <n v="45"/>
  </r>
  <r>
    <n v="62"/>
    <s v="Pickles"/>
    <n v="11"/>
    <s v="female"/>
    <s v="it's complicated"/>
    <s v="tan"/>
    <s v="Aries"/>
    <s v="Abandoned Barn"/>
    <n v="15.38"/>
    <n v="22.41"/>
    <s v="smooth"/>
    <n v="3427"/>
    <n v="110"/>
    <n v="95"/>
    <x v="2"/>
    <n v="2"/>
    <s v="artistic bleating"/>
    <x v="2"/>
    <x v="15"/>
    <x v="1"/>
    <s v="Hotel California"/>
    <n v="71307"/>
    <n v="99"/>
    <n v="38"/>
    <n v="63"/>
    <n v="70"/>
  </r>
  <r>
    <n v="63"/>
    <s v="Gertie"/>
    <n v="12"/>
    <s v="male"/>
    <s v="single"/>
    <s v="brown"/>
    <s v="Gemini"/>
    <s v="Cliffside Spa"/>
    <n v="37.04"/>
    <n v="4.1900000000000004"/>
    <s v="coarse"/>
    <n v="9164"/>
    <n v="50"/>
    <n v="125"/>
    <x v="3"/>
    <n v="7"/>
    <s v="reorganizing pebbles"/>
    <x v="0"/>
    <x v="5"/>
    <x v="2"/>
    <s v="Take on Me"/>
    <n v="21938"/>
    <n v="89"/>
    <n v="70"/>
    <n v="54"/>
    <n v="55"/>
  </r>
  <r>
    <n v="64"/>
    <s v="Scout"/>
    <n v="17"/>
    <s v="male"/>
    <s v="single"/>
    <s v="yellow"/>
    <s v="Sagittarius"/>
    <s v="Cliffside Spa"/>
    <n v="11.85"/>
    <n v="10.56"/>
    <s v="soft"/>
    <n v="8781"/>
    <n v="37"/>
    <n v="128"/>
    <x v="0"/>
    <n v="12"/>
    <s v="stealing snacks"/>
    <x v="3"/>
    <x v="9"/>
    <x v="2"/>
    <s v="I Will Always Love Ewe"/>
    <n v="65080"/>
    <n v="22"/>
    <n v="90"/>
    <n v="48"/>
    <n v="30"/>
  </r>
  <r>
    <n v="65"/>
    <s v="Otto"/>
    <n v="6"/>
    <s v="male"/>
    <s v="mated"/>
    <s v="green"/>
    <s v="Sagittarius"/>
    <s v="Mud Pit"/>
    <n v="42.35"/>
    <n v="11.38"/>
    <s v="patchy"/>
    <n v="1649"/>
    <n v="73"/>
    <n v="127"/>
    <x v="0"/>
    <n v="7"/>
    <s v="staring into the void"/>
    <x v="0"/>
    <x v="45"/>
    <x v="0"/>
    <s v="Bleat It"/>
    <n v="87218"/>
    <n v="12"/>
    <n v="23"/>
    <n v="84"/>
    <n v="30"/>
  </r>
  <r>
    <n v="66"/>
    <s v="Pearl"/>
    <n v="18"/>
    <s v="female"/>
    <s v="it's complicated"/>
    <s v="brown"/>
    <s v="Taurus"/>
    <s v="Moon Pasture"/>
    <n v="17.48"/>
    <n v="19.41"/>
    <s v="coarse"/>
    <n v="6387"/>
    <n v="45"/>
    <n v="63"/>
    <x v="2"/>
    <n v="0"/>
    <s v="headbutting"/>
    <x v="0"/>
    <x v="46"/>
    <x v="0"/>
    <s v="Jolene"/>
    <n v="98100"/>
    <n v="8"/>
    <n v="95"/>
    <n v="27"/>
    <n v="70"/>
  </r>
  <r>
    <n v="67"/>
    <s v="Holly"/>
    <n v="14"/>
    <s v="female"/>
    <s v="it's complicated"/>
    <s v="gray"/>
    <s v="Aquarius"/>
    <s v="Moon Pasture"/>
    <n v="18.600000000000001"/>
    <n v="4.2"/>
    <s v="coarse"/>
    <n v="1737"/>
    <n v="74"/>
    <n v="125"/>
    <x v="3"/>
    <n v="1"/>
    <s v="stomping on grass"/>
    <x v="0"/>
    <x v="47"/>
    <x v="0"/>
    <s v="Grazing in the Wind"/>
    <n v="52956"/>
    <n v="74"/>
    <n v="42"/>
    <n v="17"/>
    <n v="55"/>
  </r>
  <r>
    <n v="68"/>
    <s v="Sunny"/>
    <n v="17"/>
    <s v="nonbinary"/>
    <s v="mated"/>
    <s v="green"/>
    <s v="Gemini"/>
    <s v="Mud Pit"/>
    <n v="18.73"/>
    <n v="16.13"/>
    <s v="soft"/>
    <n v="5827"/>
    <n v="55"/>
    <n v="92"/>
    <x v="2"/>
    <n v="9"/>
    <s v="artistic bleating"/>
    <x v="0"/>
    <x v="39"/>
    <x v="1"/>
    <s v="Don't Stop Bleating"/>
    <n v="77121"/>
    <n v="76"/>
    <n v="56"/>
    <n v="41"/>
    <n v="70"/>
  </r>
  <r>
    <n v="69"/>
    <s v="Ash"/>
    <n v="8"/>
    <s v="female"/>
    <s v="single"/>
    <s v="white"/>
    <s v="Pisces"/>
    <s v="Cliffside Spa"/>
    <n v="13.11"/>
    <n v="10.28"/>
    <s v="soft"/>
    <n v="8026"/>
    <n v="102"/>
    <n v="62"/>
    <x v="4"/>
    <n v="1"/>
    <s v="practicing yoga"/>
    <x v="0"/>
    <x v="48"/>
    <x v="2"/>
    <s v="Stayin' Afloat"/>
    <n v="72813"/>
    <n v="46"/>
    <n v="33"/>
    <n v="40"/>
    <n v="90"/>
  </r>
  <r>
    <n v="70"/>
    <s v="Millie"/>
    <n v="15"/>
    <s v="nonbinary"/>
    <s v="single"/>
    <s v="brown"/>
    <s v="Leo"/>
    <s v="Abandoned Barn"/>
    <n v="27.54"/>
    <n v="10.67"/>
    <s v="coarse"/>
    <n v="11219"/>
    <n v="111"/>
    <n v="118"/>
    <x v="1"/>
    <n v="10"/>
    <s v="chasing butterflies"/>
    <x v="0"/>
    <x v="39"/>
    <x v="0"/>
    <s v="We Will Bleat You"/>
    <n v="51268"/>
    <n v="44"/>
    <n v="19"/>
    <n v="73"/>
    <n v="45"/>
  </r>
  <r>
    <n v="71"/>
    <s v="Robin"/>
    <n v="15"/>
    <s v="male"/>
    <s v="it's complicated"/>
    <s v="green"/>
    <s v="Scorpio"/>
    <s v="Moon Pasture"/>
    <n v="19.72"/>
    <n v="17.68"/>
    <s v="soft"/>
    <n v="6261"/>
    <n v="20"/>
    <n v="128"/>
    <x v="1"/>
    <n v="5"/>
    <s v="climbing rocks"/>
    <x v="2"/>
    <x v="23"/>
    <x v="1"/>
    <s v="Grazing in the Wind"/>
    <n v="76578"/>
    <n v="99"/>
    <n v="11"/>
    <n v="78"/>
    <n v="45"/>
  </r>
  <r>
    <n v="72"/>
    <s v="Sky"/>
    <n v="4"/>
    <s v="female"/>
    <s v="single"/>
    <s v="beige"/>
    <s v="Cancer"/>
    <s v="Moon Pasture"/>
    <n v="12.55"/>
    <n v="18.239999999999998"/>
    <s v="coarse"/>
    <n v="13099"/>
    <n v="98"/>
    <n v="138"/>
    <x v="1"/>
    <n v="3"/>
    <s v="climbing rocks"/>
    <x v="1"/>
    <x v="49"/>
    <x v="1"/>
    <s v="Stairway to Hayven"/>
    <n v="46654"/>
    <n v="82"/>
    <n v="97"/>
    <n v="38"/>
    <n v="45"/>
  </r>
  <r>
    <n v="73"/>
    <s v="Waylon"/>
    <n v="16"/>
    <s v="male"/>
    <s v="situationship"/>
    <s v="gray"/>
    <s v="Libra"/>
    <s v="Moon Pasture"/>
    <n v="16.670000000000002"/>
    <n v="7.14"/>
    <s v="sparkly"/>
    <n v="3444"/>
    <n v="29"/>
    <n v="158"/>
    <x v="4"/>
    <n v="0"/>
    <s v="dominating the salt lick"/>
    <x v="3"/>
    <x v="50"/>
    <x v="1"/>
    <s v="Stairway to Hayven"/>
    <n v="17326"/>
    <n v="67"/>
    <n v="72"/>
    <n v="18"/>
    <n v="90"/>
  </r>
  <r>
    <n v="74"/>
    <s v="Tilly"/>
    <n v="1"/>
    <s v="female"/>
    <s v="single"/>
    <s v="green"/>
    <s v="Leo"/>
    <s v="North Meadow"/>
    <n v="19.18"/>
    <n v="5.6"/>
    <s v="sleek"/>
    <n v="3252"/>
    <n v="107"/>
    <n v="66"/>
    <x v="1"/>
    <n v="5"/>
    <s v="screaming at nothing"/>
    <x v="0"/>
    <x v="2"/>
    <x v="0"/>
    <s v="Bohemian Rhapsody"/>
    <n v="24296"/>
    <n v="1"/>
    <n v="15"/>
    <n v="43"/>
    <n v="45"/>
  </r>
  <r>
    <n v="75"/>
    <s v="Homer"/>
    <n v="16"/>
    <s v="male"/>
    <s v="single"/>
    <s v="brown"/>
    <s v="Cancer"/>
    <s v="North Meadow"/>
    <n v="17.559999999999999"/>
    <n v="6.95"/>
    <s v="soft"/>
    <n v="5135"/>
    <n v="105"/>
    <n v="93"/>
    <x v="2"/>
    <n v="11"/>
    <s v="napping in sunlight"/>
    <x v="1"/>
    <x v="51"/>
    <x v="2"/>
    <s v="I Will Always Love Ewe"/>
    <n v="45449"/>
    <n v="54"/>
    <n v="45"/>
    <n v="33"/>
    <n v="70"/>
  </r>
  <r>
    <n v="76"/>
    <s v="Jill"/>
    <n v="10"/>
    <s v="female"/>
    <s v="single"/>
    <s v="tan"/>
    <s v="Sagittarius"/>
    <s v="Cliffside Spa"/>
    <n v="37.33"/>
    <n v="1.69"/>
    <s v="soft"/>
    <n v="9148"/>
    <n v="108"/>
    <n v="68"/>
    <x v="1"/>
    <n v="2"/>
    <s v="stealing snacks"/>
    <x v="0"/>
    <x v="52"/>
    <x v="1"/>
    <s v="Take on Me"/>
    <n v="35911"/>
    <n v="75"/>
    <n v="91"/>
    <n v="10"/>
    <n v="45"/>
  </r>
  <r>
    <n v="77"/>
    <s v="Chip"/>
    <n v="2"/>
    <s v="existential crisis"/>
    <s v="situationship"/>
    <s v="yellow"/>
    <s v="Aquarius"/>
    <s v="Cliffside Spa"/>
    <n v="10.119999999999999"/>
    <n v="0.18"/>
    <s v="soft"/>
    <n v="7006"/>
    <n v="80"/>
    <n v="68"/>
    <x v="2"/>
    <n v="5"/>
    <s v="chewing everything"/>
    <x v="1"/>
    <x v="53"/>
    <x v="1"/>
    <s v="I Will Always Love Ewe"/>
    <n v="69736"/>
    <n v="6"/>
    <n v="48"/>
    <n v="68"/>
    <n v="70"/>
  </r>
  <r>
    <n v="78"/>
    <s v="Trucker"/>
    <n v="13"/>
    <s v="male"/>
    <s v="mated"/>
    <s v="green"/>
    <s v="Capricorn"/>
    <s v="North Meadow"/>
    <n v="24.88"/>
    <n v="19.420000000000002"/>
    <s v="fluffy"/>
    <n v="1491"/>
    <n v="22"/>
    <n v="105"/>
    <x v="2"/>
    <n v="4"/>
    <s v="listening to the wind"/>
    <x v="1"/>
    <x v="54"/>
    <x v="1"/>
    <s v="Livin' la Vida Loca"/>
    <n v="86861"/>
    <n v="97"/>
    <n v="55"/>
    <n v="79"/>
    <n v="70"/>
  </r>
  <r>
    <n v="79"/>
    <s v="Bert"/>
    <n v="2"/>
    <s v="male"/>
    <s v="mated"/>
    <s v="brown"/>
    <s v="Leo"/>
    <s v="Cliffside Spa"/>
    <n v="35.54"/>
    <n v="15.99"/>
    <s v="patchy"/>
    <n v="6330"/>
    <n v="36"/>
    <n v="101"/>
    <x v="0"/>
    <n v="11"/>
    <s v="artistic bleating"/>
    <x v="3"/>
    <x v="55"/>
    <x v="0"/>
    <s v="Wonderwall"/>
    <n v="12979"/>
    <n v="77"/>
    <n v="89"/>
    <n v="84"/>
    <n v="30"/>
  </r>
  <r>
    <n v="80"/>
    <s v="Sage"/>
    <n v="8"/>
    <s v="nonbinary"/>
    <s v="mated"/>
    <s v="gray"/>
    <s v="Cancer"/>
    <s v="Mud Pit"/>
    <n v="24.79"/>
    <n v="3.65"/>
    <s v="patchy"/>
    <n v="2544"/>
    <n v="84"/>
    <n v="137"/>
    <x v="0"/>
    <n v="4"/>
    <s v="staring into the void"/>
    <x v="2"/>
    <x v="56"/>
    <x v="2"/>
    <s v="We Will Bleat You"/>
    <n v="88061"/>
    <n v="62"/>
    <n v="98"/>
    <n v="34"/>
    <n v="30"/>
  </r>
  <r>
    <n v="81"/>
    <s v="Darla"/>
    <n v="10"/>
    <s v="female"/>
    <s v="single"/>
    <s v="green"/>
    <s v="Virgo"/>
    <s v="North Meadow"/>
    <n v="18.38"/>
    <n v="16.64"/>
    <s v="sleek"/>
    <n v="9410"/>
    <n v="33"/>
    <n v="130"/>
    <x v="0"/>
    <n v="6"/>
    <s v="plotting escapes"/>
    <x v="0"/>
    <x v="57"/>
    <x v="1"/>
    <s v="Dancing Queen"/>
    <n v="84574"/>
    <n v="98"/>
    <n v="2"/>
    <n v="85"/>
    <n v="30"/>
  </r>
  <r>
    <n v="82"/>
    <s v="Winston"/>
    <n v="17"/>
    <s v="male"/>
    <s v="it's complicated"/>
    <s v="white"/>
    <s v="Gemini"/>
    <s v="Mud Pit"/>
    <n v="22.94"/>
    <n v="17.48"/>
    <s v="coarse"/>
    <n v="9603"/>
    <n v="93"/>
    <n v="157"/>
    <x v="1"/>
    <n v="0"/>
    <s v="artistic bleating"/>
    <x v="2"/>
    <x v="51"/>
    <x v="2"/>
    <s v="We Will Bleat You"/>
    <n v="75323"/>
    <n v="58"/>
    <n v="94"/>
    <n v="76"/>
    <n v="45"/>
  </r>
  <r>
    <n v="83"/>
    <s v="Clint"/>
    <n v="9"/>
    <s v="male"/>
    <s v="situationship"/>
    <s v="brown"/>
    <s v="Pisces"/>
    <s v="Mud Pit"/>
    <n v="12"/>
    <n v="24.44"/>
    <s v="coarse"/>
    <n v="13134"/>
    <n v="83"/>
    <n v="117"/>
    <x v="4"/>
    <n v="5"/>
    <s v="napping in sunlight"/>
    <x v="3"/>
    <x v="3"/>
    <x v="2"/>
    <s v="Hotel California"/>
    <n v="88385"/>
    <n v="73"/>
    <n v="29"/>
    <n v="41"/>
    <n v="90"/>
  </r>
  <r>
    <n v="84"/>
    <s v="Dean"/>
    <n v="3"/>
    <s v="male"/>
    <s v="it's complicated"/>
    <s v="green"/>
    <s v="Libra"/>
    <s v="North Meadow"/>
    <n v="36.82"/>
    <n v="12.94"/>
    <s v="scruffy"/>
    <n v="3668"/>
    <n v="59"/>
    <n v="103"/>
    <x v="3"/>
    <n v="11"/>
    <s v="listening to the wind"/>
    <x v="3"/>
    <x v="35"/>
    <x v="0"/>
    <s v="Sweet Caroline"/>
    <n v="99242"/>
    <n v="4"/>
    <n v="59"/>
    <n v="54"/>
    <n v="55"/>
  </r>
  <r>
    <n v="85"/>
    <s v="Annie"/>
    <n v="5"/>
    <s v="female"/>
    <s v="it's complicated"/>
    <s v="yellow"/>
    <s v="Virgo"/>
    <s v="Moon Pasture"/>
    <n v="40.24"/>
    <n v="4.01"/>
    <s v="patchy"/>
    <n v="14012"/>
    <n v="117"/>
    <n v="87"/>
    <x v="4"/>
    <n v="7"/>
    <s v="stomping on grass"/>
    <x v="3"/>
    <x v="25"/>
    <x v="0"/>
    <s v="Bohemian Rhapsody"/>
    <n v="36107"/>
    <n v="6"/>
    <n v="32"/>
    <n v="20"/>
    <n v="90"/>
  </r>
  <r>
    <n v="86"/>
    <s v="Lucas"/>
    <n v="12"/>
    <s v="male"/>
    <s v="situationship"/>
    <s v="gray"/>
    <s v="Leo"/>
    <s v="Moon Pasture"/>
    <n v="18.43"/>
    <n v="4.6900000000000004"/>
    <s v="smooth"/>
    <n v="5851"/>
    <n v="69"/>
    <n v="133"/>
    <x v="1"/>
    <n v="6"/>
    <s v="meditating on a hill"/>
    <x v="2"/>
    <x v="58"/>
    <x v="2"/>
    <s v="Smells Like Teen Spirit"/>
    <n v="4276"/>
    <n v="57"/>
    <n v="66"/>
    <n v="8"/>
    <n v="45"/>
  </r>
  <r>
    <n v="87"/>
    <s v="Rainbow"/>
    <n v="3"/>
    <s v="female"/>
    <s v="it's complicated"/>
    <s v="brown"/>
    <s v="Cancer"/>
    <s v="Moon Pasture"/>
    <n v="44.62"/>
    <n v="2.2799999999999998"/>
    <s v="fuzzy"/>
    <n v="14902"/>
    <n v="25"/>
    <n v="110"/>
    <x v="3"/>
    <n v="12"/>
    <s v="stealing snacks"/>
    <x v="0"/>
    <x v="0"/>
    <x v="0"/>
    <s v="I Will Always Love Ewe"/>
    <n v="88223"/>
    <n v="95"/>
    <n v="89"/>
    <n v="72"/>
    <n v="55"/>
  </r>
  <r>
    <n v="88"/>
    <s v="Honey"/>
    <n v="12"/>
    <s v="female"/>
    <s v="mated"/>
    <s v="green"/>
    <s v="Taurus"/>
    <s v="Mud Pit"/>
    <n v="11.93"/>
    <n v="23.03"/>
    <s v="soft"/>
    <n v="6882"/>
    <n v="97"/>
    <n v="105"/>
    <x v="1"/>
    <n v="9"/>
    <s v="chewing everything"/>
    <x v="1"/>
    <x v="59"/>
    <x v="0"/>
    <s v="Grazing in the Wind"/>
    <n v="89096"/>
    <n v="29"/>
    <n v="18"/>
    <n v="11"/>
    <n v="45"/>
  </r>
  <r>
    <n v="89"/>
    <s v="Lila"/>
    <n v="10"/>
    <s v="female"/>
    <s v="mated"/>
    <s v="tan"/>
    <s v="Pisces"/>
    <s v="Moon Pasture"/>
    <n v="37.93"/>
    <n v="18.600000000000001"/>
    <s v="dusty"/>
    <n v="5373"/>
    <n v="40"/>
    <n v="76"/>
    <x v="3"/>
    <n v="3"/>
    <s v="artistic bleating"/>
    <x v="3"/>
    <x v="6"/>
    <x v="0"/>
    <s v="Mr. Brightside"/>
    <n v="38619"/>
    <n v="22"/>
    <n v="93"/>
    <n v="88"/>
    <n v="55"/>
  </r>
  <r>
    <n v="90"/>
    <s v="Donald"/>
    <n v="3"/>
    <s v="male"/>
    <s v="situationship"/>
    <s v="brown"/>
    <s v="Virgo"/>
    <s v="North Meadow"/>
    <n v="14.02"/>
    <n v="3.1"/>
    <s v="coarse"/>
    <n v="11778"/>
    <n v="43"/>
    <n v="118"/>
    <x v="1"/>
    <n v="5"/>
    <s v="stomping on grass"/>
    <x v="2"/>
    <x v="28"/>
    <x v="1"/>
    <s v="Jolene"/>
    <n v="86159"/>
    <n v="26"/>
    <n v="26"/>
    <n v="19"/>
    <n v="45"/>
  </r>
  <r>
    <n v="91"/>
    <s v="Tina"/>
    <n v="3"/>
    <s v="female"/>
    <s v="mated"/>
    <s v="white"/>
    <s v="Scorpio"/>
    <s v="Mud Pit"/>
    <n v="28.2"/>
    <n v="14.01"/>
    <s v="soft"/>
    <n v="14094"/>
    <n v="106"/>
    <n v="100"/>
    <x v="4"/>
    <n v="9"/>
    <s v="plotting escapes"/>
    <x v="0"/>
    <x v="0"/>
    <x v="1"/>
    <s v="Thunderstruck"/>
    <n v="4255"/>
    <n v="29"/>
    <n v="89"/>
    <n v="15"/>
    <n v="90"/>
  </r>
  <r>
    <n v="92"/>
    <s v="Mabel"/>
    <n v="5"/>
    <s v="female"/>
    <s v="single"/>
    <s v="green"/>
    <s v="Taurus"/>
    <s v="Cliffside Spa"/>
    <n v="39.57"/>
    <n v="8"/>
    <s v="soft"/>
    <n v="12237"/>
    <n v="76"/>
    <n v="123"/>
    <x v="2"/>
    <n v="8"/>
    <s v="screaming at nothing"/>
    <x v="2"/>
    <x v="60"/>
    <x v="1"/>
    <s v="We Will Bleat You"/>
    <n v="94632"/>
    <n v="90"/>
    <n v="72"/>
    <n v="6"/>
    <n v="70"/>
  </r>
  <r>
    <n v="93"/>
    <s v="Roz"/>
    <n v="11"/>
    <s v="female"/>
    <s v="mated"/>
    <s v="gray"/>
    <s v="Scorpio"/>
    <s v="Cliffside Spa"/>
    <n v="33.15"/>
    <n v="6.74"/>
    <s v="soft"/>
    <n v="14334"/>
    <n v="64"/>
    <n v="112"/>
    <x v="3"/>
    <n v="5"/>
    <s v="stomping on grass"/>
    <x v="1"/>
    <x v="61"/>
    <x v="2"/>
    <s v="Africa"/>
    <n v="1996"/>
    <n v="55"/>
    <n v="57"/>
    <n v="67"/>
    <n v="55"/>
  </r>
  <r>
    <n v="94"/>
    <s v="Wade"/>
    <n v="18"/>
    <s v="male"/>
    <s v="mated"/>
    <s v="yellow"/>
    <s v="Aquarius"/>
    <s v="Moon Pasture"/>
    <n v="11.56"/>
    <n v="1.84"/>
    <s v="soft"/>
    <n v="3980"/>
    <n v="81"/>
    <n v="78"/>
    <x v="4"/>
    <n v="7"/>
    <s v="starting drama"/>
    <x v="3"/>
    <x v="8"/>
    <x v="2"/>
    <s v="Bohemian Rhapsody"/>
    <n v="38743"/>
    <n v="56"/>
    <n v="95"/>
    <n v="79"/>
    <n v="90"/>
  </r>
  <r>
    <n v="95"/>
    <s v="Grant"/>
    <n v="3"/>
    <s v="male"/>
    <s v="single"/>
    <s v="brown"/>
    <s v="Cancer"/>
    <s v="North Meadow"/>
    <n v="29.86"/>
    <n v="11.83"/>
    <s v="sleek"/>
    <n v="6777"/>
    <n v="91"/>
    <n v="134"/>
    <x v="0"/>
    <n v="6"/>
    <s v="staring into the void"/>
    <x v="3"/>
    <x v="62"/>
    <x v="0"/>
    <s v="Bleat It"/>
    <n v="21345"/>
    <n v="42"/>
    <n v="51"/>
    <n v="94"/>
    <n v="30"/>
  </r>
  <r>
    <n v="96"/>
    <s v="Gabe"/>
    <n v="16"/>
    <s v="male"/>
    <s v="mated"/>
    <s v="green"/>
    <s v="Gemini"/>
    <s v="Mud Pit"/>
    <n v="6.69"/>
    <n v="5.01"/>
    <s v="sparkly"/>
    <n v="12867"/>
    <n v="51"/>
    <n v="71"/>
    <x v="2"/>
    <n v="8"/>
    <s v="meditating on a hill"/>
    <x v="2"/>
    <x v="62"/>
    <x v="2"/>
    <s v="All the single Goats"/>
    <n v="16086"/>
    <n v="97"/>
    <n v="98"/>
    <n v="11"/>
    <n v="70"/>
  </r>
  <r>
    <n v="97"/>
    <s v="Nora"/>
    <n v="9"/>
    <s v="female"/>
    <s v="it's complicated"/>
    <s v="gray"/>
    <s v="Libra"/>
    <s v="Mud Pit"/>
    <n v="15.44"/>
    <n v="10.9"/>
    <s v="patchy"/>
    <n v="9197"/>
    <n v="59"/>
    <n v="86"/>
    <x v="0"/>
    <n v="8"/>
    <s v="starting drama"/>
    <x v="2"/>
    <x v="53"/>
    <x v="0"/>
    <s v="Hotel California"/>
    <n v="69453"/>
    <n v="27"/>
    <n v="1"/>
    <n v="40"/>
    <n v="30"/>
  </r>
  <r>
    <n v="98"/>
    <s v="Ned"/>
    <n v="17"/>
    <s v="male"/>
    <s v="situationship"/>
    <s v="brown"/>
    <s v="Libra"/>
    <s v="Abandoned Barn"/>
    <n v="21.32"/>
    <n v="8.2200000000000006"/>
    <s v="coarse"/>
    <n v="1103"/>
    <n v="38"/>
    <n v="149"/>
    <x v="2"/>
    <n v="3"/>
    <s v="chewing everything"/>
    <x v="1"/>
    <x v="39"/>
    <x v="1"/>
    <s v="Bad Romance"/>
    <n v="71073"/>
    <n v="87"/>
    <n v="48"/>
    <n v="71"/>
    <n v="70"/>
  </r>
  <r>
    <n v="99"/>
    <s v="Pete"/>
    <n v="18"/>
    <s v="male"/>
    <s v="situationship"/>
    <s v="green"/>
    <s v="Sagittarius"/>
    <s v="North Meadow"/>
    <n v="31.74"/>
    <n v="4.8499999999999996"/>
    <s v="smooth"/>
    <n v="12513"/>
    <n v="81"/>
    <n v="151"/>
    <x v="4"/>
    <n v="6"/>
    <s v="chewing everything"/>
    <x v="1"/>
    <x v="63"/>
    <x v="0"/>
    <s v="Total Eclipse of the Hoof"/>
    <n v="58923"/>
    <n v="92"/>
    <n v="95"/>
    <n v="45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5E4C7-D21F-44F1-A6D6-F682927FD275}" name="PivotTable2" cacheId="3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0:B15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appiness_score" fld="2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D1AE4-CF94-408E-A2A4-AB4CE1C6FAC6}" name="PivotTable1" cacheId="25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F8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n="enlightened" x="4"/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Col" compact="0" outline="0" showAll="0" sortType="ascending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6">
    <i>
      <x v="1"/>
    </i>
    <i>
      <x v="3"/>
    </i>
    <i>
      <x/>
    </i>
    <i>
      <x v="2"/>
    </i>
    <i>
      <x v="4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Sum of id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7A09C-8E0A-439D-AB19-205258534F0F}" name="Table1" displayName="Table1" ref="A1:Z100" totalsRowShown="0">
  <autoFilter ref="A1:Z100" xr:uid="{0AB7A09C-8E0A-439D-AB19-205258534F0F}"/>
  <sortState xmlns:xlrd2="http://schemas.microsoft.com/office/spreadsheetml/2017/richdata2" ref="A2:Z100">
    <sortCondition ref="A1:A100"/>
  </sortState>
  <tableColumns count="26">
    <tableColumn id="1" xr3:uid="{819D88C2-7D12-4033-B449-5E057AFEE7E8}" name="id"/>
    <tableColumn id="2" xr3:uid="{F839EAB3-0FB4-4AE3-B9E1-78D5A0D93C15}" name="first_name"/>
    <tableColumn id="3" xr3:uid="{A505CAC1-0FA1-45DD-B7C9-78FAAEF5A225}" name="age"/>
    <tableColumn id="4" xr3:uid="{57822271-41B2-4755-B000-EEFD85417BE1}" name="gender"/>
    <tableColumn id="5" xr3:uid="{CEE3E113-7C39-45BD-AC89-FAA78AC3780A}" name="relationship_status"/>
    <tableColumn id="6" xr3:uid="{9E16D1F0-E846-41B2-93DB-07C4F8B8C3AE}" name="favorite_color"/>
    <tableColumn id="7" xr3:uid="{8C5DC8FD-AB7B-4D3C-8C4D-B96CC1BB89CB}" name="astrological_sign"/>
    <tableColumn id="8" xr3:uid="{A104ABF3-83E9-4B3C-BF8B-3AB731540AAB}" name="farm_of_origin"/>
    <tableColumn id="9" xr3:uid="{C62D869D-F3BB-4EAA-8EB5-9B363C0E6E94}" name="horn_length_cm"/>
    <tableColumn id="10" xr3:uid="{5DA4DDFA-C418-4DEC-A9D6-E3121DC6270A}" name="beard_length_cm"/>
    <tableColumn id="11" xr3:uid="{37A354FC-11B8-4970-B590-79AA6EA3BBB0}" name="coat_condition"/>
    <tableColumn id="12" xr3:uid="{F753D7A5-AF11-48A2-8447-5ED199E75AD2}" name="avg_daily_steps"/>
    <tableColumn id="13" xr3:uid="{B510B19D-2084-4D56-862F-06563398D21A}" name="weight_kg"/>
    <tableColumn id="14" xr3:uid="{F89ECF3E-7E73-4E5A-8D66-9495A04338F5}" name="bleat_vol_db"/>
    <tableColumn id="15" xr3:uid="{FD30BD47-2F74-4765-B2C6-433D9818A444}" name="current_mood"/>
    <tableColumn id="16" xr3:uid="{AF4B565B-AE9D-4770-80D4-53FAF74DF739}" name="naps_per_day"/>
    <tableColumn id="17" xr3:uid="{FC56880D-AD75-479F-9668-9BBBF84BC24A}" name="fav_activity"/>
    <tableColumn id="18" xr3:uid="{13579828-9875-47ED-BEA8-BFE382CCE82C}" name="gang_affiliation"/>
    <tableColumn id="19" xr3:uid="{E88454F7-376D-4316-8219-34A265D3CB7F}" name="num_friends"/>
    <tableColumn id="20" xr3:uid="{71F3724A-66F1-437A-935A-A45BFFFB0DBB}" name="vaccine_status"/>
    <tableColumn id="21" xr3:uid="{26DC5CE3-1910-48A0-A211-E6A2A05E1913}" name="fav_song"/>
    <tableColumn id="22" xr3:uid="{772B7B76-E1F9-4B80-9327-951A9236A530}" name="yearly_income"/>
    <tableColumn id="23" xr3:uid="{F9748151-5AEB-4C81-B166-EC2B01BBE1B2}" name="bff_id"/>
    <tableColumn id="24" xr3:uid="{D79CBEDF-F530-4F4A-B389-FF8D0EC49460}" name="nemesis_id"/>
    <tableColumn id="25" xr3:uid="{5DF10306-DFC9-4979-816B-87FF860DDC2D}" name="crush_on_id"/>
    <tableColumn id="26" xr3:uid="{6806E4F8-043F-421E-8638-F7EC899B211A}" name="happiness_score" dataDxfId="0">
      <calculatedColumnFormula>VLOOKUP(Table1[[#This Row],[current_mood]],lookup_tables!$A$2:$B$6,2,FALSE)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AD27-97A1-42E5-B9B5-48AEB6ACFA06}">
  <dimension ref="A1:Y103"/>
  <sheetViews>
    <sheetView workbookViewId="0">
      <selection activeCell="M87" sqref="M87"/>
    </sheetView>
  </sheetViews>
  <sheetFormatPr defaultRowHeight="15"/>
  <cols>
    <col min="1" max="1" width="3.28515625" bestFit="1" customWidth="1"/>
    <col min="2" max="2" width="10.5703125" bestFit="1" customWidth="1"/>
    <col min="3" max="3" width="4.28515625" bestFit="1" customWidth="1"/>
    <col min="4" max="4" width="15.28515625" bestFit="1" customWidth="1"/>
    <col min="5" max="5" width="18.42578125" bestFit="1" customWidth="1"/>
    <col min="6" max="6" width="13.5703125" bestFit="1" customWidth="1"/>
    <col min="7" max="8" width="15.85546875" bestFit="1" customWidth="1"/>
    <col min="9" max="9" width="15.7109375" bestFit="1" customWidth="1"/>
    <col min="10" max="10" width="16.7109375" bestFit="1" customWidth="1"/>
    <col min="11" max="11" width="14.42578125" bestFit="1" customWidth="1"/>
    <col min="12" max="12" width="15.140625" bestFit="1" customWidth="1"/>
    <col min="13" max="13" width="10.140625" bestFit="1" customWidth="1"/>
    <col min="14" max="14" width="12.5703125" bestFit="1" customWidth="1"/>
    <col min="15" max="15" width="13.85546875" bestFit="1" customWidth="1"/>
    <col min="16" max="16" width="13.5703125" bestFit="1" customWidth="1"/>
    <col min="17" max="17" width="22.5703125" bestFit="1" customWidth="1"/>
    <col min="18" max="18" width="17.7109375" bestFit="1" customWidth="1"/>
    <col min="19" max="19" width="12.28515625" bestFit="1" customWidth="1"/>
    <col min="20" max="20" width="18.5703125" bestFit="1" customWidth="1"/>
    <col min="21" max="21" width="22.85546875" bestFit="1" customWidth="1"/>
    <col min="22" max="22" width="14" bestFit="1" customWidth="1"/>
    <col min="23" max="23" width="3.5703125" bestFit="1" customWidth="1"/>
    <col min="24" max="24" width="8.2851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>
        <v>11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7.2</v>
      </c>
      <c r="J2">
        <v>7.0000000000000007E-2</v>
      </c>
      <c r="K2" t="s">
        <v>31</v>
      </c>
      <c r="L2">
        <v>11000</v>
      </c>
      <c r="M2">
        <v>77</v>
      </c>
      <c r="N2">
        <v>127</v>
      </c>
      <c r="O2" t="s">
        <v>32</v>
      </c>
      <c r="P2">
        <v>8</v>
      </c>
      <c r="Q2" t="s">
        <v>33</v>
      </c>
      <c r="R2" t="s">
        <v>34</v>
      </c>
      <c r="S2">
        <v>31</v>
      </c>
      <c r="T2" t="s">
        <v>35</v>
      </c>
      <c r="U2" t="s">
        <v>36</v>
      </c>
      <c r="V2">
        <v>27733</v>
      </c>
      <c r="W2">
        <v>62</v>
      </c>
      <c r="X2">
        <v>55</v>
      </c>
      <c r="Y2">
        <v>85</v>
      </c>
    </row>
    <row r="3" spans="1:25">
      <c r="A3">
        <v>2</v>
      </c>
      <c r="B3" t="s">
        <v>37</v>
      </c>
      <c r="C3">
        <v>5</v>
      </c>
      <c r="D3" t="s">
        <v>26</v>
      </c>
      <c r="E3" t="s">
        <v>38</v>
      </c>
      <c r="F3" t="s">
        <v>39</v>
      </c>
      <c r="G3" t="s">
        <v>40</v>
      </c>
      <c r="H3" t="s">
        <v>41</v>
      </c>
      <c r="I3">
        <v>31.48</v>
      </c>
      <c r="J3">
        <v>14.33</v>
      </c>
      <c r="K3" t="s">
        <v>42</v>
      </c>
      <c r="L3">
        <v>6344</v>
      </c>
      <c r="M3">
        <v>62</v>
      </c>
      <c r="N3">
        <v>101</v>
      </c>
      <c r="O3" t="s">
        <v>43</v>
      </c>
      <c r="P3">
        <v>9</v>
      </c>
      <c r="Q3" t="s">
        <v>44</v>
      </c>
      <c r="R3" t="s">
        <v>45</v>
      </c>
      <c r="S3">
        <v>53</v>
      </c>
      <c r="T3" t="s">
        <v>46</v>
      </c>
      <c r="U3" t="s">
        <v>47</v>
      </c>
      <c r="V3">
        <v>94385</v>
      </c>
      <c r="W3">
        <v>59</v>
      </c>
      <c r="X3">
        <v>63</v>
      </c>
      <c r="Y3">
        <v>1</v>
      </c>
    </row>
    <row r="4" spans="1:25">
      <c r="A4">
        <v>3</v>
      </c>
      <c r="B4" t="s">
        <v>48</v>
      </c>
      <c r="C4">
        <v>14</v>
      </c>
      <c r="D4" t="s">
        <v>26</v>
      </c>
      <c r="E4" t="s">
        <v>49</v>
      </c>
      <c r="F4" t="s">
        <v>50</v>
      </c>
      <c r="G4" t="s">
        <v>51</v>
      </c>
      <c r="H4" t="s">
        <v>30</v>
      </c>
      <c r="I4">
        <v>15.96</v>
      </c>
      <c r="J4">
        <v>13.37</v>
      </c>
      <c r="K4" t="s">
        <v>52</v>
      </c>
      <c r="L4">
        <v>633</v>
      </c>
      <c r="M4">
        <v>72</v>
      </c>
      <c r="N4">
        <v>140</v>
      </c>
      <c r="O4" t="s">
        <v>53</v>
      </c>
      <c r="P4">
        <v>11</v>
      </c>
      <c r="Q4" t="s">
        <v>54</v>
      </c>
      <c r="R4" t="s">
        <v>55</v>
      </c>
      <c r="S4">
        <v>44</v>
      </c>
      <c r="T4" t="s">
        <v>56</v>
      </c>
      <c r="U4" t="s">
        <v>57</v>
      </c>
      <c r="V4">
        <v>35434</v>
      </c>
      <c r="W4">
        <v>41</v>
      </c>
      <c r="X4">
        <v>16</v>
      </c>
      <c r="Y4">
        <v>17</v>
      </c>
    </row>
    <row r="5" spans="1:25">
      <c r="A5">
        <v>4</v>
      </c>
      <c r="B5" t="s">
        <v>58</v>
      </c>
      <c r="C5">
        <v>10</v>
      </c>
      <c r="D5" t="s">
        <v>26</v>
      </c>
      <c r="E5" t="s">
        <v>59</v>
      </c>
      <c r="F5" t="s">
        <v>60</v>
      </c>
      <c r="G5" t="s">
        <v>61</v>
      </c>
      <c r="H5" t="s">
        <v>41</v>
      </c>
      <c r="I5">
        <v>22.81</v>
      </c>
      <c r="J5">
        <v>2.5299999999999998</v>
      </c>
      <c r="K5" t="s">
        <v>42</v>
      </c>
      <c r="L5">
        <v>1213</v>
      </c>
      <c r="M5">
        <v>73</v>
      </c>
      <c r="N5">
        <v>79</v>
      </c>
      <c r="O5" t="s">
        <v>43</v>
      </c>
      <c r="P5">
        <v>6</v>
      </c>
      <c r="Q5" t="s">
        <v>62</v>
      </c>
      <c r="R5" t="s">
        <v>55</v>
      </c>
      <c r="S5">
        <v>13</v>
      </c>
      <c r="T5" t="s">
        <v>56</v>
      </c>
      <c r="U5" t="s">
        <v>63</v>
      </c>
      <c r="V5">
        <v>22975</v>
      </c>
      <c r="W5">
        <v>20</v>
      </c>
      <c r="X5">
        <v>52</v>
      </c>
      <c r="Y5">
        <v>31</v>
      </c>
    </row>
    <row r="6" spans="1:25">
      <c r="A6">
        <v>5</v>
      </c>
      <c r="B6" t="s">
        <v>64</v>
      </c>
      <c r="C6">
        <v>18</v>
      </c>
      <c r="D6" t="s">
        <v>26</v>
      </c>
      <c r="E6" t="s">
        <v>49</v>
      </c>
      <c r="F6" t="s">
        <v>65</v>
      </c>
      <c r="G6" t="s">
        <v>66</v>
      </c>
      <c r="H6" t="s">
        <v>67</v>
      </c>
      <c r="I6">
        <v>41.17</v>
      </c>
      <c r="J6">
        <v>3.9</v>
      </c>
      <c r="K6" t="s">
        <v>42</v>
      </c>
      <c r="L6">
        <v>7753</v>
      </c>
      <c r="M6">
        <v>75</v>
      </c>
      <c r="N6">
        <v>89</v>
      </c>
      <c r="O6" t="s">
        <v>32</v>
      </c>
      <c r="P6">
        <v>12</v>
      </c>
      <c r="Q6" t="s">
        <v>68</v>
      </c>
      <c r="R6" t="s">
        <v>34</v>
      </c>
      <c r="S6">
        <v>12</v>
      </c>
      <c r="T6" t="s">
        <v>56</v>
      </c>
      <c r="U6" t="s">
        <v>69</v>
      </c>
      <c r="V6">
        <v>8905</v>
      </c>
      <c r="W6">
        <v>42</v>
      </c>
      <c r="X6">
        <v>2</v>
      </c>
      <c r="Y6">
        <v>59</v>
      </c>
    </row>
    <row r="7" spans="1:25">
      <c r="A7">
        <v>6</v>
      </c>
      <c r="B7" t="s">
        <v>70</v>
      </c>
      <c r="C7">
        <v>12</v>
      </c>
      <c r="D7" t="s">
        <v>71</v>
      </c>
      <c r="E7" t="s">
        <v>49</v>
      </c>
      <c r="F7" t="s">
        <v>28</v>
      </c>
      <c r="G7" t="s">
        <v>72</v>
      </c>
      <c r="H7" t="s">
        <v>30</v>
      </c>
      <c r="I7">
        <v>22.12</v>
      </c>
      <c r="J7">
        <v>11.57</v>
      </c>
      <c r="K7" t="s">
        <v>73</v>
      </c>
      <c r="L7">
        <v>7301</v>
      </c>
      <c r="M7">
        <v>65</v>
      </c>
      <c r="N7">
        <v>65</v>
      </c>
      <c r="O7" t="s">
        <v>32</v>
      </c>
      <c r="P7">
        <v>0</v>
      </c>
      <c r="Q7" t="s">
        <v>74</v>
      </c>
      <c r="R7" t="s">
        <v>55</v>
      </c>
      <c r="S7">
        <v>12</v>
      </c>
      <c r="T7" t="s">
        <v>46</v>
      </c>
      <c r="U7" t="s">
        <v>75</v>
      </c>
      <c r="V7">
        <v>6350</v>
      </c>
      <c r="W7">
        <v>6</v>
      </c>
      <c r="X7">
        <v>93</v>
      </c>
      <c r="Y7">
        <v>50</v>
      </c>
    </row>
    <row r="8" spans="1:25">
      <c r="A8">
        <v>7</v>
      </c>
      <c r="B8" t="s">
        <v>76</v>
      </c>
      <c r="C8">
        <v>2</v>
      </c>
      <c r="D8" t="s">
        <v>26</v>
      </c>
      <c r="E8" t="s">
        <v>38</v>
      </c>
      <c r="F8" t="s">
        <v>77</v>
      </c>
      <c r="G8" t="s">
        <v>51</v>
      </c>
      <c r="H8" t="s">
        <v>67</v>
      </c>
      <c r="I8">
        <v>34.65</v>
      </c>
      <c r="J8">
        <v>23.22</v>
      </c>
      <c r="K8" t="s">
        <v>31</v>
      </c>
      <c r="L8">
        <v>1391</v>
      </c>
      <c r="M8">
        <v>103</v>
      </c>
      <c r="N8">
        <v>67</v>
      </c>
      <c r="O8" t="s">
        <v>53</v>
      </c>
      <c r="P8">
        <v>12</v>
      </c>
      <c r="Q8" t="s">
        <v>78</v>
      </c>
      <c r="R8" t="s">
        <v>55</v>
      </c>
      <c r="S8">
        <v>71</v>
      </c>
      <c r="T8" t="s">
        <v>56</v>
      </c>
      <c r="U8" t="s">
        <v>47</v>
      </c>
      <c r="V8">
        <v>87306</v>
      </c>
      <c r="W8">
        <v>69</v>
      </c>
      <c r="X8">
        <v>69</v>
      </c>
      <c r="Y8">
        <v>54</v>
      </c>
    </row>
    <row r="9" spans="1:25">
      <c r="A9">
        <v>8</v>
      </c>
      <c r="B9" t="s">
        <v>79</v>
      </c>
      <c r="C9">
        <v>13</v>
      </c>
      <c r="D9" t="s">
        <v>71</v>
      </c>
      <c r="E9" t="s">
        <v>49</v>
      </c>
      <c r="F9" t="s">
        <v>39</v>
      </c>
      <c r="G9" t="s">
        <v>80</v>
      </c>
      <c r="H9" t="s">
        <v>41</v>
      </c>
      <c r="I9">
        <v>30.28</v>
      </c>
      <c r="J9">
        <v>0.78</v>
      </c>
      <c r="K9" t="s">
        <v>81</v>
      </c>
      <c r="L9">
        <v>8975</v>
      </c>
      <c r="M9">
        <v>80</v>
      </c>
      <c r="N9">
        <v>154</v>
      </c>
      <c r="O9" t="s">
        <v>43</v>
      </c>
      <c r="P9">
        <v>7</v>
      </c>
      <c r="Q9" t="s">
        <v>82</v>
      </c>
      <c r="R9" t="s">
        <v>55</v>
      </c>
      <c r="S9">
        <v>7</v>
      </c>
      <c r="T9" t="s">
        <v>46</v>
      </c>
      <c r="U9" t="s">
        <v>83</v>
      </c>
      <c r="V9">
        <v>25803</v>
      </c>
      <c r="W9">
        <v>12</v>
      </c>
      <c r="X9">
        <v>60</v>
      </c>
      <c r="Y9">
        <v>42</v>
      </c>
    </row>
    <row r="10" spans="1:25">
      <c r="A10">
        <v>9</v>
      </c>
      <c r="B10" t="s">
        <v>84</v>
      </c>
      <c r="C10">
        <v>7</v>
      </c>
      <c r="D10" t="s">
        <v>71</v>
      </c>
      <c r="E10" t="s">
        <v>49</v>
      </c>
      <c r="F10" t="s">
        <v>85</v>
      </c>
      <c r="G10" t="s">
        <v>86</v>
      </c>
      <c r="H10" t="s">
        <v>30</v>
      </c>
      <c r="I10">
        <v>32.83</v>
      </c>
      <c r="J10">
        <v>12.71</v>
      </c>
      <c r="K10" t="s">
        <v>73</v>
      </c>
      <c r="L10">
        <v>2923</v>
      </c>
      <c r="M10">
        <v>30</v>
      </c>
      <c r="N10">
        <v>139</v>
      </c>
      <c r="O10" t="s">
        <v>87</v>
      </c>
      <c r="P10">
        <v>11</v>
      </c>
      <c r="Q10" t="s">
        <v>88</v>
      </c>
      <c r="R10" t="s">
        <v>45</v>
      </c>
      <c r="S10">
        <v>29</v>
      </c>
      <c r="T10" t="s">
        <v>35</v>
      </c>
      <c r="U10" t="s">
        <v>89</v>
      </c>
      <c r="V10">
        <v>31274</v>
      </c>
      <c r="W10">
        <v>18</v>
      </c>
      <c r="X10">
        <v>26</v>
      </c>
      <c r="Y10">
        <v>43</v>
      </c>
    </row>
    <row r="11" spans="1:25">
      <c r="A11">
        <v>10</v>
      </c>
      <c r="B11" t="s">
        <v>90</v>
      </c>
      <c r="C11">
        <v>11</v>
      </c>
      <c r="D11" t="s">
        <v>26</v>
      </c>
      <c r="E11" t="s">
        <v>49</v>
      </c>
      <c r="F11" t="s">
        <v>28</v>
      </c>
      <c r="G11" t="s">
        <v>51</v>
      </c>
      <c r="H11" t="s">
        <v>41</v>
      </c>
      <c r="I11">
        <v>15.39</v>
      </c>
      <c r="J11">
        <v>19.09</v>
      </c>
      <c r="K11" t="s">
        <v>42</v>
      </c>
      <c r="L11">
        <v>14934</v>
      </c>
      <c r="M11">
        <v>59</v>
      </c>
      <c r="N11">
        <v>91</v>
      </c>
      <c r="O11" t="s">
        <v>43</v>
      </c>
      <c r="P11">
        <v>1</v>
      </c>
      <c r="Q11" t="s">
        <v>91</v>
      </c>
      <c r="R11" t="s">
        <v>34</v>
      </c>
      <c r="S11">
        <v>11</v>
      </c>
      <c r="T11" t="s">
        <v>35</v>
      </c>
      <c r="U11" t="s">
        <v>75</v>
      </c>
      <c r="V11">
        <v>70834</v>
      </c>
      <c r="W11">
        <v>85</v>
      </c>
      <c r="X11">
        <v>15</v>
      </c>
      <c r="Y11">
        <v>79</v>
      </c>
    </row>
    <row r="12" spans="1:25">
      <c r="A12">
        <v>11</v>
      </c>
      <c r="B12" t="s">
        <v>92</v>
      </c>
      <c r="C12">
        <v>11</v>
      </c>
      <c r="D12" t="s">
        <v>26</v>
      </c>
      <c r="E12" t="s">
        <v>49</v>
      </c>
      <c r="F12" t="s">
        <v>60</v>
      </c>
      <c r="G12" t="s">
        <v>40</v>
      </c>
      <c r="H12" t="s">
        <v>93</v>
      </c>
      <c r="I12">
        <v>2.96</v>
      </c>
      <c r="J12">
        <v>24.61</v>
      </c>
      <c r="K12" t="s">
        <v>94</v>
      </c>
      <c r="L12">
        <v>1697</v>
      </c>
      <c r="M12">
        <v>40</v>
      </c>
      <c r="N12">
        <v>137</v>
      </c>
      <c r="O12" t="s">
        <v>32</v>
      </c>
      <c r="P12">
        <v>5</v>
      </c>
      <c r="Q12" t="s">
        <v>95</v>
      </c>
      <c r="R12" t="s">
        <v>34</v>
      </c>
      <c r="S12">
        <v>79</v>
      </c>
      <c r="T12" t="s">
        <v>35</v>
      </c>
      <c r="U12" t="s">
        <v>89</v>
      </c>
      <c r="V12">
        <v>64929</v>
      </c>
      <c r="W12">
        <v>41</v>
      </c>
      <c r="X12">
        <v>40</v>
      </c>
      <c r="Y12">
        <v>28</v>
      </c>
    </row>
    <row r="13" spans="1:25">
      <c r="A13">
        <v>12</v>
      </c>
      <c r="B13" t="s">
        <v>96</v>
      </c>
      <c r="C13">
        <v>14</v>
      </c>
      <c r="D13" t="s">
        <v>71</v>
      </c>
      <c r="E13" t="s">
        <v>38</v>
      </c>
      <c r="F13" t="s">
        <v>65</v>
      </c>
      <c r="G13" t="s">
        <v>51</v>
      </c>
      <c r="H13" t="s">
        <v>93</v>
      </c>
      <c r="I13">
        <v>35.979999999999997</v>
      </c>
      <c r="J13">
        <v>13.21</v>
      </c>
      <c r="K13" t="s">
        <v>42</v>
      </c>
      <c r="L13">
        <v>6711</v>
      </c>
      <c r="M13">
        <v>117</v>
      </c>
      <c r="N13">
        <v>131</v>
      </c>
      <c r="O13" t="s">
        <v>97</v>
      </c>
      <c r="P13">
        <v>0</v>
      </c>
      <c r="Q13" t="s">
        <v>33</v>
      </c>
      <c r="R13" t="s">
        <v>34</v>
      </c>
      <c r="S13">
        <v>5</v>
      </c>
      <c r="T13" t="s">
        <v>35</v>
      </c>
      <c r="U13" t="s">
        <v>98</v>
      </c>
      <c r="V13">
        <v>31713</v>
      </c>
      <c r="W13">
        <v>94</v>
      </c>
      <c r="X13">
        <v>85</v>
      </c>
      <c r="Y13">
        <v>71</v>
      </c>
    </row>
    <row r="14" spans="1:25">
      <c r="A14">
        <v>13</v>
      </c>
      <c r="B14" t="s">
        <v>99</v>
      </c>
      <c r="C14">
        <v>13</v>
      </c>
      <c r="D14" t="s">
        <v>71</v>
      </c>
      <c r="E14" t="s">
        <v>49</v>
      </c>
      <c r="F14" t="s">
        <v>39</v>
      </c>
      <c r="G14" t="s">
        <v>100</v>
      </c>
      <c r="H14" t="s">
        <v>41</v>
      </c>
      <c r="I14">
        <v>3.62</v>
      </c>
      <c r="J14">
        <v>14.91</v>
      </c>
      <c r="K14" t="s">
        <v>31</v>
      </c>
      <c r="L14">
        <v>2159</v>
      </c>
      <c r="M14">
        <v>91</v>
      </c>
      <c r="N14">
        <v>63</v>
      </c>
      <c r="O14" t="s">
        <v>53</v>
      </c>
      <c r="P14">
        <v>6</v>
      </c>
      <c r="Q14" t="s">
        <v>44</v>
      </c>
      <c r="R14" t="s">
        <v>34</v>
      </c>
      <c r="S14">
        <v>59</v>
      </c>
      <c r="T14" t="s">
        <v>35</v>
      </c>
      <c r="U14" t="s">
        <v>101</v>
      </c>
      <c r="V14">
        <v>88486</v>
      </c>
      <c r="W14">
        <v>80</v>
      </c>
      <c r="X14">
        <v>55</v>
      </c>
      <c r="Y14">
        <v>24</v>
      </c>
    </row>
    <row r="15" spans="1:25">
      <c r="A15">
        <v>14</v>
      </c>
      <c r="B15" t="s">
        <v>102</v>
      </c>
      <c r="C15">
        <v>15</v>
      </c>
      <c r="D15" t="s">
        <v>26</v>
      </c>
      <c r="E15" t="s">
        <v>49</v>
      </c>
      <c r="F15" t="s">
        <v>28</v>
      </c>
      <c r="G15" t="s">
        <v>86</v>
      </c>
      <c r="H15" t="s">
        <v>67</v>
      </c>
      <c r="I15">
        <v>5.65</v>
      </c>
      <c r="J15">
        <v>3.14</v>
      </c>
      <c r="K15" t="s">
        <v>81</v>
      </c>
      <c r="L15">
        <v>14150</v>
      </c>
      <c r="M15">
        <v>22</v>
      </c>
      <c r="N15">
        <v>121</v>
      </c>
      <c r="O15" t="s">
        <v>53</v>
      </c>
      <c r="P15">
        <v>8</v>
      </c>
      <c r="Q15" t="s">
        <v>95</v>
      </c>
      <c r="R15" t="s">
        <v>45</v>
      </c>
      <c r="S15">
        <v>75</v>
      </c>
      <c r="T15" t="s">
        <v>56</v>
      </c>
      <c r="U15" t="s">
        <v>63</v>
      </c>
      <c r="V15">
        <v>76260</v>
      </c>
      <c r="W15">
        <v>2</v>
      </c>
      <c r="X15">
        <v>79</v>
      </c>
      <c r="Y15">
        <v>15</v>
      </c>
    </row>
    <row r="16" spans="1:25">
      <c r="A16">
        <v>15</v>
      </c>
      <c r="B16" t="s">
        <v>103</v>
      </c>
      <c r="C16">
        <v>16</v>
      </c>
      <c r="D16" t="s">
        <v>71</v>
      </c>
      <c r="E16" t="s">
        <v>38</v>
      </c>
      <c r="F16" t="s">
        <v>77</v>
      </c>
      <c r="G16" t="s">
        <v>72</v>
      </c>
      <c r="H16" t="s">
        <v>104</v>
      </c>
      <c r="I16">
        <v>17.29</v>
      </c>
      <c r="J16">
        <v>14.57</v>
      </c>
      <c r="K16" t="s">
        <v>73</v>
      </c>
      <c r="L16">
        <v>4814</v>
      </c>
      <c r="M16">
        <v>77</v>
      </c>
      <c r="N16">
        <v>153</v>
      </c>
      <c r="O16" t="s">
        <v>53</v>
      </c>
      <c r="P16">
        <v>2</v>
      </c>
      <c r="Q16" t="s">
        <v>68</v>
      </c>
      <c r="R16" t="s">
        <v>105</v>
      </c>
      <c r="S16">
        <v>60</v>
      </c>
      <c r="T16" t="s">
        <v>56</v>
      </c>
      <c r="U16" t="s">
        <v>106</v>
      </c>
      <c r="V16">
        <v>77716</v>
      </c>
      <c r="W16">
        <v>35</v>
      </c>
      <c r="X16">
        <v>55</v>
      </c>
      <c r="Y16">
        <v>39</v>
      </c>
    </row>
    <row r="17" spans="1:25">
      <c r="A17">
        <v>16</v>
      </c>
      <c r="B17" t="s">
        <v>107</v>
      </c>
      <c r="C17">
        <v>8</v>
      </c>
      <c r="D17" t="s">
        <v>26</v>
      </c>
      <c r="E17" t="s">
        <v>38</v>
      </c>
      <c r="F17" t="s">
        <v>65</v>
      </c>
      <c r="G17" t="s">
        <v>80</v>
      </c>
      <c r="H17" t="s">
        <v>67</v>
      </c>
      <c r="I17">
        <v>16.350000000000001</v>
      </c>
      <c r="J17">
        <v>14.77</v>
      </c>
      <c r="K17" t="s">
        <v>108</v>
      </c>
      <c r="L17">
        <v>9860</v>
      </c>
      <c r="M17">
        <v>55</v>
      </c>
      <c r="N17">
        <v>136</v>
      </c>
      <c r="O17" t="s">
        <v>87</v>
      </c>
      <c r="P17">
        <v>8</v>
      </c>
      <c r="Q17" t="s">
        <v>82</v>
      </c>
      <c r="R17" t="s">
        <v>45</v>
      </c>
      <c r="S17">
        <v>53</v>
      </c>
      <c r="T17" t="s">
        <v>46</v>
      </c>
      <c r="U17" t="s">
        <v>109</v>
      </c>
      <c r="V17">
        <v>22291</v>
      </c>
      <c r="W17">
        <v>42</v>
      </c>
      <c r="X17">
        <v>83</v>
      </c>
      <c r="Y17">
        <v>83</v>
      </c>
    </row>
    <row r="18" spans="1:25">
      <c r="A18">
        <v>17</v>
      </c>
      <c r="B18" t="s">
        <v>110</v>
      </c>
      <c r="C18">
        <v>12</v>
      </c>
      <c r="D18" t="s">
        <v>26</v>
      </c>
      <c r="E18" t="s">
        <v>49</v>
      </c>
      <c r="F18" t="s">
        <v>28</v>
      </c>
      <c r="G18" t="s">
        <v>29</v>
      </c>
      <c r="H18" t="s">
        <v>30</v>
      </c>
      <c r="I18">
        <v>7.09</v>
      </c>
      <c r="J18">
        <v>2.6</v>
      </c>
      <c r="K18" t="s">
        <v>111</v>
      </c>
      <c r="L18">
        <v>10172</v>
      </c>
      <c r="M18">
        <v>58</v>
      </c>
      <c r="N18">
        <v>114</v>
      </c>
      <c r="O18" t="s">
        <v>53</v>
      </c>
      <c r="P18">
        <v>4</v>
      </c>
      <c r="Q18" t="s">
        <v>88</v>
      </c>
      <c r="R18" t="s">
        <v>34</v>
      </c>
      <c r="S18">
        <v>51</v>
      </c>
      <c r="T18" t="s">
        <v>46</v>
      </c>
      <c r="U18" t="s">
        <v>112</v>
      </c>
      <c r="V18">
        <v>69408</v>
      </c>
      <c r="W18">
        <v>23</v>
      </c>
      <c r="X18">
        <v>34</v>
      </c>
      <c r="Y18">
        <v>20</v>
      </c>
    </row>
    <row r="19" spans="1:25">
      <c r="A19">
        <v>18</v>
      </c>
      <c r="B19" t="s">
        <v>113</v>
      </c>
      <c r="C19">
        <v>1</v>
      </c>
      <c r="D19" t="s">
        <v>71</v>
      </c>
      <c r="E19" t="s">
        <v>27</v>
      </c>
      <c r="F19" t="s">
        <v>39</v>
      </c>
      <c r="G19" t="s">
        <v>40</v>
      </c>
      <c r="H19" t="s">
        <v>67</v>
      </c>
      <c r="I19">
        <v>12.67</v>
      </c>
      <c r="J19">
        <v>1.98</v>
      </c>
      <c r="K19" t="s">
        <v>42</v>
      </c>
      <c r="L19">
        <v>1646</v>
      </c>
      <c r="M19">
        <v>77</v>
      </c>
      <c r="N19">
        <v>125</v>
      </c>
      <c r="O19" t="s">
        <v>53</v>
      </c>
      <c r="P19">
        <v>3</v>
      </c>
      <c r="Q19" t="s">
        <v>114</v>
      </c>
      <c r="R19" t="s">
        <v>105</v>
      </c>
      <c r="S19">
        <v>11</v>
      </c>
      <c r="T19" t="s">
        <v>46</v>
      </c>
      <c r="U19" t="s">
        <v>36</v>
      </c>
      <c r="V19">
        <v>61575</v>
      </c>
      <c r="W19">
        <v>18</v>
      </c>
      <c r="X19">
        <v>39</v>
      </c>
      <c r="Y19">
        <v>28</v>
      </c>
    </row>
    <row r="20" spans="1:25">
      <c r="A20">
        <v>19</v>
      </c>
      <c r="B20" t="s">
        <v>115</v>
      </c>
      <c r="C20">
        <v>3</v>
      </c>
      <c r="D20" t="s">
        <v>26</v>
      </c>
      <c r="E20" t="s">
        <v>38</v>
      </c>
      <c r="F20" t="s">
        <v>60</v>
      </c>
      <c r="G20" t="s">
        <v>72</v>
      </c>
      <c r="H20" t="s">
        <v>30</v>
      </c>
      <c r="I20">
        <v>18.440000000000001</v>
      </c>
      <c r="J20">
        <v>1.68</v>
      </c>
      <c r="K20" t="s">
        <v>116</v>
      </c>
      <c r="L20">
        <v>3671</v>
      </c>
      <c r="M20">
        <v>82</v>
      </c>
      <c r="N20">
        <v>95</v>
      </c>
      <c r="O20" t="s">
        <v>32</v>
      </c>
      <c r="P20">
        <v>4</v>
      </c>
      <c r="Q20" t="s">
        <v>82</v>
      </c>
      <c r="R20" t="s">
        <v>45</v>
      </c>
      <c r="S20">
        <v>86</v>
      </c>
      <c r="T20" t="s">
        <v>56</v>
      </c>
      <c r="U20" t="s">
        <v>117</v>
      </c>
      <c r="V20">
        <v>86575</v>
      </c>
      <c r="W20">
        <v>95</v>
      </c>
      <c r="X20">
        <v>61</v>
      </c>
      <c r="Y20">
        <v>47</v>
      </c>
    </row>
    <row r="21" spans="1:25">
      <c r="A21">
        <v>20</v>
      </c>
      <c r="B21" t="s">
        <v>118</v>
      </c>
      <c r="C21">
        <v>1</v>
      </c>
      <c r="D21" t="s">
        <v>26</v>
      </c>
      <c r="E21" t="s">
        <v>38</v>
      </c>
      <c r="F21" t="s">
        <v>28</v>
      </c>
      <c r="G21" t="s">
        <v>72</v>
      </c>
      <c r="H21" t="s">
        <v>41</v>
      </c>
      <c r="I21">
        <v>10.59</v>
      </c>
      <c r="J21">
        <v>7.49</v>
      </c>
      <c r="K21" t="s">
        <v>73</v>
      </c>
      <c r="L21">
        <v>12823</v>
      </c>
      <c r="M21">
        <v>51</v>
      </c>
      <c r="N21">
        <v>108</v>
      </c>
      <c r="O21" t="s">
        <v>32</v>
      </c>
      <c r="P21">
        <v>10</v>
      </c>
      <c r="Q21" t="s">
        <v>88</v>
      </c>
      <c r="R21" t="s">
        <v>34</v>
      </c>
      <c r="S21">
        <v>86</v>
      </c>
      <c r="T21" t="s">
        <v>46</v>
      </c>
      <c r="U21" t="s">
        <v>119</v>
      </c>
      <c r="V21">
        <v>79867</v>
      </c>
      <c r="W21">
        <v>29</v>
      </c>
      <c r="X21">
        <v>63</v>
      </c>
      <c r="Y21">
        <v>41</v>
      </c>
    </row>
    <row r="22" spans="1:25">
      <c r="A22">
        <v>21</v>
      </c>
      <c r="B22" t="s">
        <v>120</v>
      </c>
      <c r="C22">
        <v>5</v>
      </c>
      <c r="D22" t="s">
        <v>71</v>
      </c>
      <c r="E22" t="s">
        <v>38</v>
      </c>
      <c r="F22" t="s">
        <v>77</v>
      </c>
      <c r="G22" t="s">
        <v>72</v>
      </c>
      <c r="H22" t="s">
        <v>93</v>
      </c>
      <c r="I22">
        <v>21.48</v>
      </c>
      <c r="J22">
        <v>0.35</v>
      </c>
      <c r="K22" t="s">
        <v>121</v>
      </c>
      <c r="L22">
        <v>4161</v>
      </c>
      <c r="M22">
        <v>39</v>
      </c>
      <c r="N22">
        <v>116</v>
      </c>
      <c r="O22" t="s">
        <v>53</v>
      </c>
      <c r="P22">
        <v>5</v>
      </c>
      <c r="Q22" t="s">
        <v>68</v>
      </c>
      <c r="R22" t="s">
        <v>34</v>
      </c>
      <c r="S22">
        <v>56</v>
      </c>
      <c r="T22" t="s">
        <v>56</v>
      </c>
      <c r="U22" t="s">
        <v>122</v>
      </c>
      <c r="V22">
        <v>23177</v>
      </c>
      <c r="W22">
        <v>10</v>
      </c>
      <c r="X22">
        <v>22</v>
      </c>
      <c r="Y22">
        <v>80</v>
      </c>
    </row>
    <row r="23" spans="1:25">
      <c r="A23">
        <v>22</v>
      </c>
      <c r="B23" t="s">
        <v>123</v>
      </c>
      <c r="C23">
        <v>8</v>
      </c>
      <c r="D23" t="s">
        <v>71</v>
      </c>
      <c r="E23" t="s">
        <v>38</v>
      </c>
      <c r="F23" t="s">
        <v>39</v>
      </c>
      <c r="G23" t="s">
        <v>72</v>
      </c>
      <c r="H23" t="s">
        <v>104</v>
      </c>
      <c r="I23">
        <v>23.81</v>
      </c>
      <c r="J23">
        <v>2.4</v>
      </c>
      <c r="K23" t="s">
        <v>31</v>
      </c>
      <c r="L23">
        <v>9076</v>
      </c>
      <c r="M23">
        <v>98</v>
      </c>
      <c r="N23">
        <v>114</v>
      </c>
      <c r="O23" t="s">
        <v>43</v>
      </c>
      <c r="P23">
        <v>10</v>
      </c>
      <c r="Q23" t="s">
        <v>95</v>
      </c>
      <c r="R23" t="s">
        <v>34</v>
      </c>
      <c r="S23">
        <v>53</v>
      </c>
      <c r="T23" t="s">
        <v>46</v>
      </c>
      <c r="U23" t="s">
        <v>124</v>
      </c>
      <c r="V23">
        <v>72834</v>
      </c>
      <c r="W23">
        <v>73</v>
      </c>
      <c r="X23">
        <v>44</v>
      </c>
      <c r="Y23">
        <v>68</v>
      </c>
    </row>
    <row r="24" spans="1:25">
      <c r="A24">
        <v>23</v>
      </c>
      <c r="B24" t="s">
        <v>125</v>
      </c>
      <c r="C24">
        <v>13</v>
      </c>
      <c r="D24" t="s">
        <v>71</v>
      </c>
      <c r="E24" t="s">
        <v>49</v>
      </c>
      <c r="F24" t="s">
        <v>28</v>
      </c>
      <c r="G24" t="s">
        <v>126</v>
      </c>
      <c r="H24" t="s">
        <v>104</v>
      </c>
      <c r="I24">
        <v>28.06</v>
      </c>
      <c r="J24">
        <v>22.89</v>
      </c>
      <c r="K24" t="s">
        <v>108</v>
      </c>
      <c r="L24">
        <v>13723</v>
      </c>
      <c r="M24">
        <v>37</v>
      </c>
      <c r="N24">
        <v>134</v>
      </c>
      <c r="O24" t="s">
        <v>43</v>
      </c>
      <c r="P24">
        <v>3</v>
      </c>
      <c r="Q24" t="s">
        <v>127</v>
      </c>
      <c r="R24" t="s">
        <v>34</v>
      </c>
      <c r="S24">
        <v>8</v>
      </c>
      <c r="T24" t="s">
        <v>46</v>
      </c>
      <c r="U24" t="s">
        <v>128</v>
      </c>
      <c r="V24">
        <v>735</v>
      </c>
      <c r="W24">
        <v>99</v>
      </c>
      <c r="X24">
        <v>3</v>
      </c>
      <c r="Y24">
        <v>53</v>
      </c>
    </row>
    <row r="25" spans="1:25">
      <c r="A25">
        <v>24</v>
      </c>
      <c r="B25" t="s">
        <v>129</v>
      </c>
      <c r="C25">
        <v>15</v>
      </c>
      <c r="D25" t="s">
        <v>71</v>
      </c>
      <c r="E25" t="s">
        <v>49</v>
      </c>
      <c r="F25" t="s">
        <v>65</v>
      </c>
      <c r="G25" t="s">
        <v>61</v>
      </c>
      <c r="H25" t="s">
        <v>67</v>
      </c>
      <c r="I25">
        <v>18.16</v>
      </c>
      <c r="J25">
        <v>12.63</v>
      </c>
      <c r="K25" t="s">
        <v>31</v>
      </c>
      <c r="L25">
        <v>5889</v>
      </c>
      <c r="M25">
        <v>41</v>
      </c>
      <c r="N25">
        <v>113</v>
      </c>
      <c r="O25" t="s">
        <v>53</v>
      </c>
      <c r="P25">
        <v>3</v>
      </c>
      <c r="Q25" t="s">
        <v>95</v>
      </c>
      <c r="R25" t="s">
        <v>34</v>
      </c>
      <c r="S25">
        <v>1</v>
      </c>
      <c r="T25" t="s">
        <v>35</v>
      </c>
      <c r="U25" t="s">
        <v>122</v>
      </c>
      <c r="V25">
        <v>71358</v>
      </c>
      <c r="W25">
        <v>67</v>
      </c>
      <c r="X25">
        <v>28</v>
      </c>
      <c r="Y25">
        <v>20</v>
      </c>
    </row>
    <row r="26" spans="1:25">
      <c r="A26">
        <v>25</v>
      </c>
      <c r="B26" t="s">
        <v>130</v>
      </c>
      <c r="C26">
        <v>11</v>
      </c>
      <c r="D26" t="s">
        <v>26</v>
      </c>
      <c r="E26" t="s">
        <v>49</v>
      </c>
      <c r="F26" t="s">
        <v>60</v>
      </c>
      <c r="G26" t="s">
        <v>86</v>
      </c>
      <c r="H26" t="s">
        <v>30</v>
      </c>
      <c r="I26">
        <v>33.6</v>
      </c>
      <c r="J26">
        <v>11.76</v>
      </c>
      <c r="K26" t="s">
        <v>42</v>
      </c>
      <c r="L26">
        <v>5003</v>
      </c>
      <c r="M26">
        <v>80</v>
      </c>
      <c r="N26">
        <v>155</v>
      </c>
      <c r="O26" t="s">
        <v>53</v>
      </c>
      <c r="P26">
        <v>5</v>
      </c>
      <c r="Q26" t="s">
        <v>82</v>
      </c>
      <c r="R26" t="s">
        <v>45</v>
      </c>
      <c r="S26">
        <v>26</v>
      </c>
      <c r="T26" t="s">
        <v>56</v>
      </c>
      <c r="U26" t="s">
        <v>57</v>
      </c>
      <c r="V26">
        <v>53523</v>
      </c>
      <c r="W26">
        <v>44</v>
      </c>
      <c r="X26">
        <v>15</v>
      </c>
      <c r="Y26">
        <v>75</v>
      </c>
    </row>
    <row r="27" spans="1:25">
      <c r="A27">
        <v>26</v>
      </c>
      <c r="B27" t="s">
        <v>131</v>
      </c>
      <c r="C27">
        <v>5</v>
      </c>
      <c r="D27" t="s">
        <v>26</v>
      </c>
      <c r="E27" t="s">
        <v>49</v>
      </c>
      <c r="F27" t="s">
        <v>39</v>
      </c>
      <c r="G27" t="s">
        <v>80</v>
      </c>
      <c r="H27" t="s">
        <v>104</v>
      </c>
      <c r="I27">
        <v>2.69</v>
      </c>
      <c r="J27">
        <v>19.95</v>
      </c>
      <c r="K27" t="s">
        <v>31</v>
      </c>
      <c r="L27">
        <v>10683</v>
      </c>
      <c r="M27">
        <v>57</v>
      </c>
      <c r="N27">
        <v>79</v>
      </c>
      <c r="O27" t="s">
        <v>53</v>
      </c>
      <c r="P27">
        <v>1</v>
      </c>
      <c r="Q27" t="s">
        <v>132</v>
      </c>
      <c r="R27" t="s">
        <v>45</v>
      </c>
      <c r="S27">
        <v>61</v>
      </c>
      <c r="T27" t="s">
        <v>46</v>
      </c>
      <c r="U27" t="s">
        <v>117</v>
      </c>
      <c r="V27">
        <v>72511</v>
      </c>
      <c r="W27">
        <v>96</v>
      </c>
      <c r="X27">
        <v>52</v>
      </c>
      <c r="Y27">
        <v>41</v>
      </c>
    </row>
    <row r="28" spans="1:25">
      <c r="A28">
        <v>27</v>
      </c>
      <c r="B28" t="s">
        <v>133</v>
      </c>
      <c r="C28">
        <v>1</v>
      </c>
      <c r="D28" t="s">
        <v>26</v>
      </c>
      <c r="E28" t="s">
        <v>49</v>
      </c>
      <c r="F28" t="s">
        <v>85</v>
      </c>
      <c r="G28" t="s">
        <v>86</v>
      </c>
      <c r="H28" t="s">
        <v>41</v>
      </c>
      <c r="I28">
        <v>39.520000000000003</v>
      </c>
      <c r="J28">
        <v>17.440000000000001</v>
      </c>
      <c r="K28" t="s">
        <v>73</v>
      </c>
      <c r="L28">
        <v>9398</v>
      </c>
      <c r="M28">
        <v>62</v>
      </c>
      <c r="N28">
        <v>73</v>
      </c>
      <c r="O28" t="s">
        <v>87</v>
      </c>
      <c r="P28">
        <v>6</v>
      </c>
      <c r="Q28" t="s">
        <v>134</v>
      </c>
      <c r="R28" t="s">
        <v>34</v>
      </c>
      <c r="S28">
        <v>85</v>
      </c>
      <c r="T28" t="s">
        <v>35</v>
      </c>
      <c r="U28" t="s">
        <v>75</v>
      </c>
      <c r="V28">
        <v>8264</v>
      </c>
      <c r="W28">
        <v>28</v>
      </c>
      <c r="X28">
        <v>11</v>
      </c>
      <c r="Y28">
        <v>27</v>
      </c>
    </row>
    <row r="29" spans="1:25">
      <c r="A29">
        <v>28</v>
      </c>
      <c r="B29" t="s">
        <v>135</v>
      </c>
      <c r="C29">
        <v>17</v>
      </c>
      <c r="D29" t="s">
        <v>26</v>
      </c>
      <c r="E29" t="s">
        <v>27</v>
      </c>
      <c r="F29" t="s">
        <v>28</v>
      </c>
      <c r="G29" t="s">
        <v>80</v>
      </c>
      <c r="H29" t="s">
        <v>93</v>
      </c>
      <c r="I29">
        <v>1.25</v>
      </c>
      <c r="J29">
        <v>14.05</v>
      </c>
      <c r="K29" t="s">
        <v>31</v>
      </c>
      <c r="L29">
        <v>1034</v>
      </c>
      <c r="M29">
        <v>107</v>
      </c>
      <c r="N29">
        <v>102</v>
      </c>
      <c r="O29" t="s">
        <v>87</v>
      </c>
      <c r="P29">
        <v>10</v>
      </c>
      <c r="Q29" t="s">
        <v>54</v>
      </c>
      <c r="R29" t="s">
        <v>105</v>
      </c>
      <c r="S29">
        <v>33</v>
      </c>
      <c r="T29" t="s">
        <v>56</v>
      </c>
      <c r="U29" t="s">
        <v>83</v>
      </c>
      <c r="V29">
        <v>9597</v>
      </c>
      <c r="W29">
        <v>71</v>
      </c>
      <c r="X29">
        <v>94</v>
      </c>
      <c r="Y29">
        <v>20</v>
      </c>
    </row>
    <row r="30" spans="1:25">
      <c r="A30">
        <v>29</v>
      </c>
      <c r="B30" t="s">
        <v>136</v>
      </c>
      <c r="C30">
        <v>2</v>
      </c>
      <c r="D30" t="s">
        <v>71</v>
      </c>
      <c r="E30" t="s">
        <v>27</v>
      </c>
      <c r="F30" t="s">
        <v>65</v>
      </c>
      <c r="G30" t="s">
        <v>66</v>
      </c>
      <c r="H30" t="s">
        <v>30</v>
      </c>
      <c r="I30">
        <v>23.35</v>
      </c>
      <c r="J30">
        <v>12.57</v>
      </c>
      <c r="K30" t="s">
        <v>31</v>
      </c>
      <c r="L30">
        <v>5415</v>
      </c>
      <c r="M30">
        <v>52</v>
      </c>
      <c r="N30">
        <v>124</v>
      </c>
      <c r="O30" t="s">
        <v>97</v>
      </c>
      <c r="P30">
        <v>10</v>
      </c>
      <c r="Q30" t="s">
        <v>137</v>
      </c>
      <c r="R30" t="s">
        <v>55</v>
      </c>
      <c r="S30">
        <v>50</v>
      </c>
      <c r="T30" t="s">
        <v>46</v>
      </c>
      <c r="U30" t="s">
        <v>138</v>
      </c>
      <c r="V30">
        <v>73019</v>
      </c>
      <c r="W30">
        <v>38</v>
      </c>
      <c r="X30">
        <v>35</v>
      </c>
      <c r="Y30">
        <v>97</v>
      </c>
    </row>
    <row r="31" spans="1:25">
      <c r="A31">
        <v>30</v>
      </c>
      <c r="B31" t="s">
        <v>139</v>
      </c>
      <c r="C31">
        <v>2</v>
      </c>
      <c r="D31" t="s">
        <v>26</v>
      </c>
      <c r="E31" t="s">
        <v>49</v>
      </c>
      <c r="F31" t="s">
        <v>39</v>
      </c>
      <c r="G31" t="s">
        <v>66</v>
      </c>
      <c r="H31" t="s">
        <v>30</v>
      </c>
      <c r="I31">
        <v>43.8</v>
      </c>
      <c r="J31">
        <v>7.99</v>
      </c>
      <c r="K31" t="s">
        <v>42</v>
      </c>
      <c r="L31">
        <v>13246</v>
      </c>
      <c r="M31">
        <v>66</v>
      </c>
      <c r="N31">
        <v>61</v>
      </c>
      <c r="O31" t="s">
        <v>53</v>
      </c>
      <c r="P31">
        <v>9</v>
      </c>
      <c r="Q31" t="s">
        <v>78</v>
      </c>
      <c r="R31" t="s">
        <v>105</v>
      </c>
      <c r="S31">
        <v>79</v>
      </c>
      <c r="T31" t="s">
        <v>35</v>
      </c>
      <c r="U31" t="s">
        <v>124</v>
      </c>
      <c r="V31">
        <v>76953</v>
      </c>
      <c r="W31">
        <v>77</v>
      </c>
      <c r="X31">
        <v>16</v>
      </c>
      <c r="Y31">
        <v>58</v>
      </c>
    </row>
    <row r="32" spans="1:25">
      <c r="A32">
        <v>31</v>
      </c>
      <c r="B32" t="s">
        <v>140</v>
      </c>
      <c r="C32">
        <v>3</v>
      </c>
      <c r="D32" t="s">
        <v>71</v>
      </c>
      <c r="E32" t="s">
        <v>27</v>
      </c>
      <c r="F32" t="s">
        <v>28</v>
      </c>
      <c r="G32" t="s">
        <v>141</v>
      </c>
      <c r="H32" t="s">
        <v>93</v>
      </c>
      <c r="I32">
        <v>33.299999999999997</v>
      </c>
      <c r="J32">
        <v>9.77</v>
      </c>
      <c r="K32" t="s">
        <v>108</v>
      </c>
      <c r="L32">
        <v>2015</v>
      </c>
      <c r="M32">
        <v>39</v>
      </c>
      <c r="N32">
        <v>155</v>
      </c>
      <c r="O32" t="s">
        <v>43</v>
      </c>
      <c r="P32">
        <v>11</v>
      </c>
      <c r="Q32" t="s">
        <v>54</v>
      </c>
      <c r="R32" t="s">
        <v>34</v>
      </c>
      <c r="S32">
        <v>86</v>
      </c>
      <c r="T32" t="s">
        <v>46</v>
      </c>
      <c r="U32" t="s">
        <v>101</v>
      </c>
      <c r="V32">
        <v>4283</v>
      </c>
      <c r="W32">
        <v>82</v>
      </c>
      <c r="X32">
        <v>63</v>
      </c>
      <c r="Y32">
        <v>44</v>
      </c>
    </row>
    <row r="33" spans="1:25">
      <c r="A33">
        <v>32</v>
      </c>
      <c r="B33" t="s">
        <v>142</v>
      </c>
      <c r="C33">
        <v>11</v>
      </c>
      <c r="D33" t="s">
        <v>26</v>
      </c>
      <c r="E33" t="s">
        <v>27</v>
      </c>
      <c r="F33" t="s">
        <v>50</v>
      </c>
      <c r="G33" t="s">
        <v>51</v>
      </c>
      <c r="H33" t="s">
        <v>30</v>
      </c>
      <c r="I33">
        <v>14.11</v>
      </c>
      <c r="J33">
        <v>20.93</v>
      </c>
      <c r="K33" t="s">
        <v>73</v>
      </c>
      <c r="L33">
        <v>11825</v>
      </c>
      <c r="M33">
        <v>51</v>
      </c>
      <c r="N33">
        <v>74</v>
      </c>
      <c r="O33" t="s">
        <v>97</v>
      </c>
      <c r="P33">
        <v>8</v>
      </c>
      <c r="Q33" t="s">
        <v>127</v>
      </c>
      <c r="R33" t="s">
        <v>45</v>
      </c>
      <c r="S33">
        <v>3</v>
      </c>
      <c r="T33" t="s">
        <v>46</v>
      </c>
      <c r="U33" t="s">
        <v>89</v>
      </c>
      <c r="V33">
        <v>2128</v>
      </c>
      <c r="W33">
        <v>19</v>
      </c>
      <c r="X33">
        <v>61</v>
      </c>
      <c r="Y33">
        <v>5</v>
      </c>
    </row>
    <row r="34" spans="1:25">
      <c r="A34">
        <v>33</v>
      </c>
      <c r="B34" t="s">
        <v>143</v>
      </c>
      <c r="C34">
        <v>8</v>
      </c>
      <c r="D34" t="s">
        <v>144</v>
      </c>
      <c r="E34" t="s">
        <v>59</v>
      </c>
      <c r="F34" t="s">
        <v>77</v>
      </c>
      <c r="G34" t="s">
        <v>145</v>
      </c>
      <c r="H34" t="s">
        <v>93</v>
      </c>
      <c r="I34">
        <v>27.29</v>
      </c>
      <c r="J34">
        <v>23.07</v>
      </c>
      <c r="K34" t="s">
        <v>146</v>
      </c>
      <c r="L34">
        <v>10380</v>
      </c>
      <c r="M34">
        <v>91</v>
      </c>
      <c r="N34">
        <v>155</v>
      </c>
      <c r="O34" t="s">
        <v>87</v>
      </c>
      <c r="P34">
        <v>1</v>
      </c>
      <c r="Q34" t="s">
        <v>68</v>
      </c>
      <c r="R34" t="s">
        <v>45</v>
      </c>
      <c r="S34">
        <v>18</v>
      </c>
      <c r="T34" t="s">
        <v>46</v>
      </c>
      <c r="U34" t="s">
        <v>36</v>
      </c>
      <c r="V34">
        <v>91476</v>
      </c>
      <c r="W34">
        <v>41</v>
      </c>
      <c r="X34">
        <v>99</v>
      </c>
      <c r="Y34">
        <v>2</v>
      </c>
    </row>
    <row r="35" spans="1:25">
      <c r="A35">
        <v>34</v>
      </c>
      <c r="B35" t="s">
        <v>147</v>
      </c>
      <c r="C35">
        <v>1</v>
      </c>
      <c r="D35" t="s">
        <v>71</v>
      </c>
      <c r="E35" t="s">
        <v>59</v>
      </c>
      <c r="F35" t="s">
        <v>65</v>
      </c>
      <c r="G35" t="s">
        <v>126</v>
      </c>
      <c r="H35" t="s">
        <v>41</v>
      </c>
      <c r="I35">
        <v>22.65</v>
      </c>
      <c r="J35">
        <v>16.21</v>
      </c>
      <c r="K35" t="s">
        <v>73</v>
      </c>
      <c r="L35">
        <v>6484</v>
      </c>
      <c r="M35">
        <v>20</v>
      </c>
      <c r="N35">
        <v>100</v>
      </c>
      <c r="O35" t="s">
        <v>97</v>
      </c>
      <c r="P35">
        <v>7</v>
      </c>
      <c r="Q35" t="s">
        <v>78</v>
      </c>
      <c r="R35" t="s">
        <v>55</v>
      </c>
      <c r="S35">
        <v>29</v>
      </c>
      <c r="T35" t="s">
        <v>46</v>
      </c>
      <c r="U35" t="s">
        <v>148</v>
      </c>
      <c r="V35">
        <v>45567</v>
      </c>
      <c r="W35">
        <v>71</v>
      </c>
      <c r="X35">
        <v>24</v>
      </c>
      <c r="Y35">
        <v>31</v>
      </c>
    </row>
    <row r="36" spans="1:25">
      <c r="A36">
        <v>35</v>
      </c>
      <c r="B36" t="s">
        <v>149</v>
      </c>
      <c r="C36">
        <v>11</v>
      </c>
      <c r="D36" t="s">
        <v>71</v>
      </c>
      <c r="E36" t="s">
        <v>49</v>
      </c>
      <c r="F36" t="s">
        <v>60</v>
      </c>
      <c r="G36" t="s">
        <v>126</v>
      </c>
      <c r="H36" t="s">
        <v>30</v>
      </c>
      <c r="I36">
        <v>18.559999999999999</v>
      </c>
      <c r="J36">
        <v>5.16</v>
      </c>
      <c r="K36" t="s">
        <v>31</v>
      </c>
      <c r="L36">
        <v>12186</v>
      </c>
      <c r="M36">
        <v>35</v>
      </c>
      <c r="N36">
        <v>100</v>
      </c>
      <c r="O36" t="s">
        <v>43</v>
      </c>
      <c r="P36">
        <v>6</v>
      </c>
      <c r="Q36" t="s">
        <v>95</v>
      </c>
      <c r="R36" t="s">
        <v>105</v>
      </c>
      <c r="S36">
        <v>74</v>
      </c>
      <c r="T36" t="s">
        <v>46</v>
      </c>
      <c r="U36" t="s">
        <v>89</v>
      </c>
      <c r="V36">
        <v>62685</v>
      </c>
      <c r="W36">
        <v>77</v>
      </c>
      <c r="X36">
        <v>23</v>
      </c>
      <c r="Y36">
        <v>6</v>
      </c>
    </row>
    <row r="37" spans="1:25">
      <c r="A37">
        <v>36</v>
      </c>
      <c r="B37" t="s">
        <v>150</v>
      </c>
      <c r="C37">
        <v>16</v>
      </c>
      <c r="D37" t="s">
        <v>26</v>
      </c>
      <c r="E37" t="s">
        <v>27</v>
      </c>
      <c r="F37" t="s">
        <v>39</v>
      </c>
      <c r="G37" t="s">
        <v>145</v>
      </c>
      <c r="H37" t="s">
        <v>41</v>
      </c>
      <c r="I37">
        <v>30.72</v>
      </c>
      <c r="J37">
        <v>14.3</v>
      </c>
      <c r="K37" t="s">
        <v>73</v>
      </c>
      <c r="L37">
        <v>13363</v>
      </c>
      <c r="M37">
        <v>114</v>
      </c>
      <c r="N37">
        <v>139</v>
      </c>
      <c r="O37" t="s">
        <v>87</v>
      </c>
      <c r="P37">
        <v>11</v>
      </c>
      <c r="Q37" t="s">
        <v>33</v>
      </c>
      <c r="R37" t="s">
        <v>105</v>
      </c>
      <c r="S37">
        <v>45</v>
      </c>
      <c r="T37" t="s">
        <v>35</v>
      </c>
      <c r="U37" t="s">
        <v>69</v>
      </c>
      <c r="V37">
        <v>57590</v>
      </c>
      <c r="W37">
        <v>11</v>
      </c>
      <c r="X37">
        <v>90</v>
      </c>
      <c r="Y37">
        <v>74</v>
      </c>
    </row>
    <row r="38" spans="1:25">
      <c r="A38">
        <v>37</v>
      </c>
      <c r="B38" t="s">
        <v>151</v>
      </c>
      <c r="C38">
        <v>4</v>
      </c>
      <c r="D38" t="s">
        <v>71</v>
      </c>
      <c r="E38" t="s">
        <v>38</v>
      </c>
      <c r="F38" t="s">
        <v>28</v>
      </c>
      <c r="G38" t="s">
        <v>80</v>
      </c>
      <c r="H38" t="s">
        <v>41</v>
      </c>
      <c r="I38">
        <v>37.729999999999997</v>
      </c>
      <c r="J38">
        <v>14.71</v>
      </c>
      <c r="K38" t="s">
        <v>152</v>
      </c>
      <c r="L38">
        <v>10715</v>
      </c>
      <c r="M38">
        <v>108</v>
      </c>
      <c r="N38">
        <v>75</v>
      </c>
      <c r="O38" t="s">
        <v>43</v>
      </c>
      <c r="P38">
        <v>3</v>
      </c>
      <c r="Q38" t="s">
        <v>132</v>
      </c>
      <c r="R38" t="s">
        <v>55</v>
      </c>
      <c r="S38">
        <v>2</v>
      </c>
      <c r="T38" t="s">
        <v>46</v>
      </c>
      <c r="U38" t="s">
        <v>153</v>
      </c>
      <c r="V38">
        <v>47226</v>
      </c>
      <c r="W38">
        <v>88</v>
      </c>
      <c r="X38">
        <v>28</v>
      </c>
      <c r="Y38">
        <v>45</v>
      </c>
    </row>
    <row r="39" spans="1:25">
      <c r="A39">
        <v>38</v>
      </c>
      <c r="B39" t="s">
        <v>154</v>
      </c>
      <c r="C39">
        <v>16</v>
      </c>
      <c r="D39" t="s">
        <v>144</v>
      </c>
      <c r="E39" t="s">
        <v>38</v>
      </c>
      <c r="F39" t="s">
        <v>65</v>
      </c>
      <c r="G39" t="s">
        <v>61</v>
      </c>
      <c r="H39" t="s">
        <v>41</v>
      </c>
      <c r="I39">
        <v>32.76</v>
      </c>
      <c r="J39">
        <v>15.35</v>
      </c>
      <c r="K39" t="s">
        <v>31</v>
      </c>
      <c r="L39">
        <v>11814</v>
      </c>
      <c r="M39">
        <v>40</v>
      </c>
      <c r="N39">
        <v>118</v>
      </c>
      <c r="O39" t="s">
        <v>43</v>
      </c>
      <c r="P39">
        <v>2</v>
      </c>
      <c r="Q39" t="s">
        <v>132</v>
      </c>
      <c r="R39" t="s">
        <v>45</v>
      </c>
      <c r="S39">
        <v>55</v>
      </c>
      <c r="T39" t="s">
        <v>35</v>
      </c>
      <c r="U39" t="s">
        <v>155</v>
      </c>
      <c r="V39">
        <v>69785</v>
      </c>
      <c r="W39">
        <v>89</v>
      </c>
      <c r="X39">
        <v>28</v>
      </c>
      <c r="Y39">
        <v>75</v>
      </c>
    </row>
    <row r="40" spans="1:25">
      <c r="A40">
        <v>39</v>
      </c>
      <c r="B40" t="s">
        <v>156</v>
      </c>
      <c r="C40">
        <v>11</v>
      </c>
      <c r="D40" t="s">
        <v>71</v>
      </c>
      <c r="E40" t="s">
        <v>59</v>
      </c>
      <c r="F40" t="s">
        <v>28</v>
      </c>
      <c r="G40" t="s">
        <v>80</v>
      </c>
      <c r="H40" t="s">
        <v>93</v>
      </c>
      <c r="I40">
        <v>20.309999999999999</v>
      </c>
      <c r="J40">
        <v>12.87</v>
      </c>
      <c r="K40" t="s">
        <v>121</v>
      </c>
      <c r="L40">
        <v>7774</v>
      </c>
      <c r="M40">
        <v>78</v>
      </c>
      <c r="N40">
        <v>154</v>
      </c>
      <c r="O40" t="s">
        <v>87</v>
      </c>
      <c r="P40">
        <v>5</v>
      </c>
      <c r="Q40" t="s">
        <v>127</v>
      </c>
      <c r="R40" t="s">
        <v>45</v>
      </c>
      <c r="S40">
        <v>20</v>
      </c>
      <c r="T40" t="s">
        <v>35</v>
      </c>
      <c r="U40" t="s">
        <v>148</v>
      </c>
      <c r="V40">
        <v>21931</v>
      </c>
      <c r="W40">
        <v>31</v>
      </c>
      <c r="X40">
        <v>20</v>
      </c>
      <c r="Y40">
        <v>51</v>
      </c>
    </row>
    <row r="41" spans="1:25">
      <c r="A41">
        <v>40</v>
      </c>
      <c r="B41" t="s">
        <v>157</v>
      </c>
      <c r="C41">
        <v>4</v>
      </c>
      <c r="D41" t="s">
        <v>26</v>
      </c>
      <c r="E41" t="s">
        <v>49</v>
      </c>
      <c r="F41" t="s">
        <v>39</v>
      </c>
      <c r="G41" t="s">
        <v>40</v>
      </c>
      <c r="H41" t="s">
        <v>93</v>
      </c>
      <c r="I41">
        <v>24.73</v>
      </c>
      <c r="J41">
        <v>10.96</v>
      </c>
      <c r="K41" t="s">
        <v>121</v>
      </c>
      <c r="L41">
        <v>11356</v>
      </c>
      <c r="M41">
        <v>94</v>
      </c>
      <c r="N41">
        <v>124</v>
      </c>
      <c r="O41" t="s">
        <v>53</v>
      </c>
      <c r="P41">
        <v>9</v>
      </c>
      <c r="Q41" t="s">
        <v>132</v>
      </c>
      <c r="R41" t="s">
        <v>34</v>
      </c>
      <c r="S41">
        <v>38</v>
      </c>
      <c r="T41" t="s">
        <v>56</v>
      </c>
      <c r="U41" t="s">
        <v>158</v>
      </c>
      <c r="V41">
        <v>28869</v>
      </c>
      <c r="W41">
        <v>99</v>
      </c>
      <c r="X41">
        <v>4</v>
      </c>
      <c r="Y41">
        <v>30</v>
      </c>
    </row>
    <row r="42" spans="1:25">
      <c r="A42">
        <v>41</v>
      </c>
      <c r="B42" t="s">
        <v>159</v>
      </c>
      <c r="C42">
        <v>4</v>
      </c>
      <c r="D42" t="s">
        <v>71</v>
      </c>
      <c r="E42" t="s">
        <v>49</v>
      </c>
      <c r="F42" t="s">
        <v>77</v>
      </c>
      <c r="G42" t="s">
        <v>29</v>
      </c>
      <c r="H42" t="s">
        <v>41</v>
      </c>
      <c r="I42">
        <v>24.46</v>
      </c>
      <c r="J42">
        <v>10.31</v>
      </c>
      <c r="K42" t="s">
        <v>73</v>
      </c>
      <c r="L42">
        <v>14624</v>
      </c>
      <c r="M42">
        <v>63</v>
      </c>
      <c r="N42">
        <v>157</v>
      </c>
      <c r="O42" t="s">
        <v>53</v>
      </c>
      <c r="P42">
        <v>1</v>
      </c>
      <c r="Q42" t="s">
        <v>78</v>
      </c>
      <c r="R42" t="s">
        <v>55</v>
      </c>
      <c r="S42">
        <v>87</v>
      </c>
      <c r="T42" t="s">
        <v>35</v>
      </c>
      <c r="U42" t="s">
        <v>128</v>
      </c>
      <c r="V42">
        <v>55159</v>
      </c>
      <c r="W42">
        <v>12</v>
      </c>
      <c r="X42">
        <v>90</v>
      </c>
      <c r="Y42">
        <v>32</v>
      </c>
    </row>
    <row r="43" spans="1:25">
      <c r="A43">
        <v>42</v>
      </c>
      <c r="B43" t="s">
        <v>160</v>
      </c>
      <c r="C43">
        <v>2</v>
      </c>
      <c r="D43" t="s">
        <v>71</v>
      </c>
      <c r="E43" t="s">
        <v>59</v>
      </c>
      <c r="F43" t="s">
        <v>85</v>
      </c>
      <c r="G43" t="s">
        <v>61</v>
      </c>
      <c r="H43" t="s">
        <v>41</v>
      </c>
      <c r="I43">
        <v>16.91</v>
      </c>
      <c r="J43">
        <v>15.49</v>
      </c>
      <c r="K43" t="s">
        <v>161</v>
      </c>
      <c r="L43">
        <v>1895</v>
      </c>
      <c r="M43">
        <v>36</v>
      </c>
      <c r="N43">
        <v>76</v>
      </c>
      <c r="O43" t="s">
        <v>53</v>
      </c>
      <c r="P43">
        <v>4</v>
      </c>
      <c r="Q43" t="s">
        <v>88</v>
      </c>
      <c r="R43" t="s">
        <v>105</v>
      </c>
      <c r="S43">
        <v>93</v>
      </c>
      <c r="T43" t="s">
        <v>35</v>
      </c>
      <c r="U43" t="s">
        <v>162</v>
      </c>
      <c r="V43">
        <v>72326</v>
      </c>
      <c r="W43">
        <v>99</v>
      </c>
      <c r="X43">
        <v>53</v>
      </c>
      <c r="Y43">
        <v>97</v>
      </c>
    </row>
    <row r="44" spans="1:25">
      <c r="A44">
        <v>43</v>
      </c>
      <c r="B44" t="s">
        <v>163</v>
      </c>
      <c r="C44">
        <v>3</v>
      </c>
      <c r="D44" t="s">
        <v>26</v>
      </c>
      <c r="E44" t="s">
        <v>38</v>
      </c>
      <c r="F44" t="s">
        <v>28</v>
      </c>
      <c r="G44" t="s">
        <v>66</v>
      </c>
      <c r="H44" t="s">
        <v>41</v>
      </c>
      <c r="I44">
        <v>15.33</v>
      </c>
      <c r="J44">
        <v>16</v>
      </c>
      <c r="K44" t="s">
        <v>73</v>
      </c>
      <c r="L44">
        <v>7896</v>
      </c>
      <c r="M44">
        <v>100</v>
      </c>
      <c r="N44">
        <v>130</v>
      </c>
      <c r="O44" t="s">
        <v>32</v>
      </c>
      <c r="P44">
        <v>0</v>
      </c>
      <c r="Q44" t="s">
        <v>134</v>
      </c>
      <c r="R44" t="s">
        <v>34</v>
      </c>
      <c r="S44">
        <v>62</v>
      </c>
      <c r="T44" t="s">
        <v>56</v>
      </c>
      <c r="U44" t="s">
        <v>106</v>
      </c>
      <c r="V44">
        <v>83863</v>
      </c>
      <c r="W44">
        <v>49</v>
      </c>
      <c r="X44">
        <v>10</v>
      </c>
      <c r="Y44">
        <v>97</v>
      </c>
    </row>
    <row r="45" spans="1:25">
      <c r="A45">
        <v>44</v>
      </c>
      <c r="B45" t="s">
        <v>164</v>
      </c>
      <c r="C45">
        <v>18</v>
      </c>
      <c r="D45" t="s">
        <v>71</v>
      </c>
      <c r="E45" t="s">
        <v>38</v>
      </c>
      <c r="F45" t="s">
        <v>60</v>
      </c>
      <c r="G45" t="s">
        <v>141</v>
      </c>
      <c r="H45" t="s">
        <v>67</v>
      </c>
      <c r="I45">
        <v>34.83</v>
      </c>
      <c r="J45">
        <v>8.41</v>
      </c>
      <c r="K45" t="s">
        <v>73</v>
      </c>
      <c r="L45">
        <v>5451</v>
      </c>
      <c r="M45">
        <v>89</v>
      </c>
      <c r="N45">
        <v>144</v>
      </c>
      <c r="O45" t="s">
        <v>87</v>
      </c>
      <c r="P45">
        <v>0</v>
      </c>
      <c r="Q45" t="s">
        <v>88</v>
      </c>
      <c r="R45" t="s">
        <v>105</v>
      </c>
      <c r="S45">
        <v>86</v>
      </c>
      <c r="T45" t="s">
        <v>56</v>
      </c>
      <c r="U45" t="s">
        <v>47</v>
      </c>
      <c r="V45">
        <v>73891</v>
      </c>
      <c r="W45">
        <v>36</v>
      </c>
      <c r="X45">
        <v>54</v>
      </c>
      <c r="Y45">
        <v>81</v>
      </c>
    </row>
    <row r="46" spans="1:25">
      <c r="A46">
        <v>45</v>
      </c>
      <c r="B46" t="s">
        <v>165</v>
      </c>
      <c r="C46">
        <v>9</v>
      </c>
      <c r="D46" t="s">
        <v>71</v>
      </c>
      <c r="E46" t="s">
        <v>27</v>
      </c>
      <c r="F46" t="s">
        <v>39</v>
      </c>
      <c r="G46" t="s">
        <v>145</v>
      </c>
      <c r="H46" t="s">
        <v>41</v>
      </c>
      <c r="I46">
        <v>5.77</v>
      </c>
      <c r="J46">
        <v>11.38</v>
      </c>
      <c r="K46" t="s">
        <v>31</v>
      </c>
      <c r="L46">
        <v>2356</v>
      </c>
      <c r="M46">
        <v>44</v>
      </c>
      <c r="N46">
        <v>87</v>
      </c>
      <c r="O46" t="s">
        <v>32</v>
      </c>
      <c r="P46">
        <v>2</v>
      </c>
      <c r="Q46" t="s">
        <v>68</v>
      </c>
      <c r="R46" t="s">
        <v>45</v>
      </c>
      <c r="S46">
        <v>12</v>
      </c>
      <c r="T46" t="s">
        <v>46</v>
      </c>
      <c r="U46" t="s">
        <v>106</v>
      </c>
      <c r="V46">
        <v>88029</v>
      </c>
      <c r="W46">
        <v>5</v>
      </c>
      <c r="X46">
        <v>81</v>
      </c>
      <c r="Y46">
        <v>43</v>
      </c>
    </row>
    <row r="47" spans="1:25">
      <c r="A47">
        <v>46</v>
      </c>
      <c r="B47" t="s">
        <v>166</v>
      </c>
      <c r="C47">
        <v>2</v>
      </c>
      <c r="D47" t="s">
        <v>26</v>
      </c>
      <c r="E47" t="s">
        <v>27</v>
      </c>
      <c r="F47" t="s">
        <v>65</v>
      </c>
      <c r="G47" t="s">
        <v>61</v>
      </c>
      <c r="H47" t="s">
        <v>67</v>
      </c>
      <c r="I47">
        <v>13.62</v>
      </c>
      <c r="J47">
        <v>8.69</v>
      </c>
      <c r="K47" t="s">
        <v>121</v>
      </c>
      <c r="L47">
        <v>738</v>
      </c>
      <c r="M47">
        <v>107</v>
      </c>
      <c r="N47">
        <v>96</v>
      </c>
      <c r="O47" t="s">
        <v>43</v>
      </c>
      <c r="P47">
        <v>2</v>
      </c>
      <c r="Q47" t="s">
        <v>44</v>
      </c>
      <c r="R47" t="s">
        <v>55</v>
      </c>
      <c r="S47">
        <v>24</v>
      </c>
      <c r="T47" t="s">
        <v>46</v>
      </c>
      <c r="U47" t="s">
        <v>101</v>
      </c>
      <c r="V47">
        <v>31769</v>
      </c>
      <c r="W47">
        <v>12</v>
      </c>
      <c r="X47">
        <v>34</v>
      </c>
      <c r="Y47">
        <v>26</v>
      </c>
    </row>
    <row r="48" spans="1:25">
      <c r="A48">
        <v>47</v>
      </c>
      <c r="B48" t="s">
        <v>167</v>
      </c>
      <c r="C48">
        <v>9</v>
      </c>
      <c r="D48" t="s">
        <v>71</v>
      </c>
      <c r="E48" t="s">
        <v>38</v>
      </c>
      <c r="F48" t="s">
        <v>28</v>
      </c>
      <c r="G48" t="s">
        <v>51</v>
      </c>
      <c r="H48" t="s">
        <v>67</v>
      </c>
      <c r="I48">
        <v>29.88</v>
      </c>
      <c r="J48">
        <v>21.82</v>
      </c>
      <c r="K48" t="s">
        <v>108</v>
      </c>
      <c r="L48">
        <v>9300</v>
      </c>
      <c r="M48">
        <v>56</v>
      </c>
      <c r="N48">
        <v>66</v>
      </c>
      <c r="O48" t="s">
        <v>53</v>
      </c>
      <c r="P48">
        <v>7</v>
      </c>
      <c r="Q48" t="s">
        <v>62</v>
      </c>
      <c r="R48" t="s">
        <v>55</v>
      </c>
      <c r="S48">
        <v>91</v>
      </c>
      <c r="T48" t="s">
        <v>46</v>
      </c>
      <c r="U48" t="s">
        <v>109</v>
      </c>
      <c r="V48">
        <v>22180</v>
      </c>
      <c r="W48">
        <v>42</v>
      </c>
      <c r="X48">
        <v>2</v>
      </c>
      <c r="Y48">
        <v>20</v>
      </c>
    </row>
    <row r="49" spans="1:25">
      <c r="A49">
        <v>48</v>
      </c>
      <c r="B49" t="s">
        <v>168</v>
      </c>
      <c r="C49">
        <v>12</v>
      </c>
      <c r="D49" t="s">
        <v>26</v>
      </c>
      <c r="E49" t="s">
        <v>27</v>
      </c>
      <c r="F49" t="s">
        <v>77</v>
      </c>
      <c r="G49" t="s">
        <v>141</v>
      </c>
      <c r="H49" t="s">
        <v>30</v>
      </c>
      <c r="I49">
        <v>24.6</v>
      </c>
      <c r="J49">
        <v>9.66</v>
      </c>
      <c r="K49" t="s">
        <v>81</v>
      </c>
      <c r="L49">
        <v>12586</v>
      </c>
      <c r="M49">
        <v>20</v>
      </c>
      <c r="N49">
        <v>84</v>
      </c>
      <c r="O49" t="s">
        <v>97</v>
      </c>
      <c r="P49">
        <v>3</v>
      </c>
      <c r="Q49" t="s">
        <v>62</v>
      </c>
      <c r="R49" t="s">
        <v>105</v>
      </c>
      <c r="S49">
        <v>73</v>
      </c>
      <c r="T49" t="s">
        <v>56</v>
      </c>
      <c r="U49" t="s">
        <v>112</v>
      </c>
      <c r="V49">
        <v>31342</v>
      </c>
      <c r="W49">
        <v>52</v>
      </c>
      <c r="X49">
        <v>25</v>
      </c>
      <c r="Y49">
        <v>70</v>
      </c>
    </row>
    <row r="50" spans="1:25">
      <c r="A50">
        <v>49</v>
      </c>
      <c r="B50" t="s">
        <v>169</v>
      </c>
      <c r="C50">
        <v>13</v>
      </c>
      <c r="D50" t="s">
        <v>71</v>
      </c>
      <c r="E50" t="s">
        <v>38</v>
      </c>
      <c r="F50" t="s">
        <v>39</v>
      </c>
      <c r="G50" t="s">
        <v>145</v>
      </c>
      <c r="H50" t="s">
        <v>67</v>
      </c>
      <c r="I50">
        <v>28.77</v>
      </c>
      <c r="J50">
        <v>11.64</v>
      </c>
      <c r="K50" t="s">
        <v>42</v>
      </c>
      <c r="L50">
        <v>7218</v>
      </c>
      <c r="M50">
        <v>83</v>
      </c>
      <c r="N50">
        <v>127</v>
      </c>
      <c r="O50" t="s">
        <v>97</v>
      </c>
      <c r="P50">
        <v>12</v>
      </c>
      <c r="Q50" t="s">
        <v>114</v>
      </c>
      <c r="R50" t="s">
        <v>105</v>
      </c>
      <c r="S50">
        <v>49</v>
      </c>
      <c r="T50" t="s">
        <v>56</v>
      </c>
      <c r="U50" t="s">
        <v>109</v>
      </c>
      <c r="V50">
        <v>87972</v>
      </c>
      <c r="W50">
        <v>26</v>
      </c>
      <c r="X50">
        <v>79</v>
      </c>
      <c r="Y50">
        <v>97</v>
      </c>
    </row>
    <row r="51" spans="1:25">
      <c r="A51">
        <v>50</v>
      </c>
      <c r="B51" t="s">
        <v>170</v>
      </c>
      <c r="C51">
        <v>13</v>
      </c>
      <c r="D51" t="s">
        <v>26</v>
      </c>
      <c r="E51" t="s">
        <v>59</v>
      </c>
      <c r="F51" t="s">
        <v>28</v>
      </c>
      <c r="G51" t="s">
        <v>100</v>
      </c>
      <c r="H51" t="s">
        <v>67</v>
      </c>
      <c r="I51">
        <v>10.36</v>
      </c>
      <c r="J51">
        <v>5.57</v>
      </c>
      <c r="K51" t="s">
        <v>31</v>
      </c>
      <c r="L51">
        <v>10984</v>
      </c>
      <c r="M51">
        <v>47</v>
      </c>
      <c r="N51">
        <v>118</v>
      </c>
      <c r="O51" t="s">
        <v>87</v>
      </c>
      <c r="P51">
        <v>10</v>
      </c>
      <c r="Q51" t="s">
        <v>132</v>
      </c>
      <c r="R51" t="s">
        <v>45</v>
      </c>
      <c r="S51">
        <v>75</v>
      </c>
      <c r="T51" t="s">
        <v>35</v>
      </c>
      <c r="U51" t="s">
        <v>57</v>
      </c>
      <c r="V51">
        <v>95007</v>
      </c>
      <c r="W51">
        <v>35</v>
      </c>
      <c r="X51">
        <v>61</v>
      </c>
      <c r="Y51">
        <v>64</v>
      </c>
    </row>
    <row r="52" spans="1:25">
      <c r="A52">
        <v>51</v>
      </c>
      <c r="B52" t="s">
        <v>171</v>
      </c>
      <c r="C52">
        <v>13</v>
      </c>
      <c r="D52" t="s">
        <v>71</v>
      </c>
      <c r="E52" t="s">
        <v>49</v>
      </c>
      <c r="F52" t="s">
        <v>65</v>
      </c>
      <c r="G52" t="s">
        <v>40</v>
      </c>
      <c r="H52" t="s">
        <v>30</v>
      </c>
      <c r="I52">
        <v>32.85</v>
      </c>
      <c r="J52">
        <v>24.31</v>
      </c>
      <c r="K52" t="s">
        <v>121</v>
      </c>
      <c r="L52">
        <v>14927</v>
      </c>
      <c r="M52">
        <v>119</v>
      </c>
      <c r="N52">
        <v>102</v>
      </c>
      <c r="O52" t="s">
        <v>53</v>
      </c>
      <c r="P52">
        <v>0</v>
      </c>
      <c r="Q52" t="s">
        <v>95</v>
      </c>
      <c r="R52" t="s">
        <v>34</v>
      </c>
      <c r="S52">
        <v>32</v>
      </c>
      <c r="T52" t="s">
        <v>46</v>
      </c>
      <c r="U52" t="s">
        <v>128</v>
      </c>
      <c r="V52">
        <v>12950</v>
      </c>
      <c r="W52">
        <v>36</v>
      </c>
      <c r="X52">
        <v>48</v>
      </c>
      <c r="Y52">
        <v>12</v>
      </c>
    </row>
    <row r="53" spans="1:25">
      <c r="A53">
        <v>52</v>
      </c>
      <c r="B53" t="s">
        <v>172</v>
      </c>
      <c r="C53">
        <v>7</v>
      </c>
      <c r="D53" t="s">
        <v>26</v>
      </c>
      <c r="E53" t="s">
        <v>49</v>
      </c>
      <c r="F53" t="s">
        <v>60</v>
      </c>
      <c r="G53" t="s">
        <v>86</v>
      </c>
      <c r="H53" t="s">
        <v>30</v>
      </c>
      <c r="I53">
        <v>29.78</v>
      </c>
      <c r="J53">
        <v>20.88</v>
      </c>
      <c r="K53" t="s">
        <v>42</v>
      </c>
      <c r="L53">
        <v>2824</v>
      </c>
      <c r="M53">
        <v>88</v>
      </c>
      <c r="N53">
        <v>110</v>
      </c>
      <c r="O53" t="s">
        <v>97</v>
      </c>
      <c r="P53">
        <v>2</v>
      </c>
      <c r="Q53" t="s">
        <v>114</v>
      </c>
      <c r="R53" t="s">
        <v>45</v>
      </c>
      <c r="S53">
        <v>3</v>
      </c>
      <c r="T53" t="s">
        <v>35</v>
      </c>
      <c r="U53" t="s">
        <v>173</v>
      </c>
      <c r="V53">
        <v>8464</v>
      </c>
      <c r="W53">
        <v>81</v>
      </c>
      <c r="X53">
        <v>77</v>
      </c>
      <c r="Y53">
        <v>80</v>
      </c>
    </row>
    <row r="54" spans="1:25">
      <c r="A54">
        <v>53</v>
      </c>
      <c r="B54" t="s">
        <v>174</v>
      </c>
      <c r="C54">
        <v>17</v>
      </c>
      <c r="D54" t="s">
        <v>71</v>
      </c>
      <c r="E54" t="s">
        <v>27</v>
      </c>
      <c r="F54" t="s">
        <v>39</v>
      </c>
      <c r="G54" t="s">
        <v>100</v>
      </c>
      <c r="H54" t="s">
        <v>93</v>
      </c>
      <c r="I54">
        <v>20.22</v>
      </c>
      <c r="J54">
        <v>11.11</v>
      </c>
      <c r="K54" t="s">
        <v>31</v>
      </c>
      <c r="L54">
        <v>10464</v>
      </c>
      <c r="M54">
        <v>91</v>
      </c>
      <c r="N54">
        <v>90</v>
      </c>
      <c r="O54" t="s">
        <v>97</v>
      </c>
      <c r="P54">
        <v>4</v>
      </c>
      <c r="Q54" t="s">
        <v>134</v>
      </c>
      <c r="R54" t="s">
        <v>55</v>
      </c>
      <c r="S54">
        <v>11</v>
      </c>
      <c r="T54" t="s">
        <v>46</v>
      </c>
      <c r="U54" t="s">
        <v>106</v>
      </c>
      <c r="V54">
        <v>14836</v>
      </c>
      <c r="W54">
        <v>25</v>
      </c>
      <c r="X54">
        <v>90</v>
      </c>
      <c r="Y54">
        <v>59</v>
      </c>
    </row>
    <row r="55" spans="1:25">
      <c r="A55">
        <v>54</v>
      </c>
      <c r="B55" t="s">
        <v>175</v>
      </c>
      <c r="C55">
        <v>14</v>
      </c>
      <c r="D55" t="s">
        <v>26</v>
      </c>
      <c r="E55" t="s">
        <v>59</v>
      </c>
      <c r="F55" t="s">
        <v>28</v>
      </c>
      <c r="G55" t="s">
        <v>61</v>
      </c>
      <c r="H55" t="s">
        <v>93</v>
      </c>
      <c r="I55">
        <v>44.4</v>
      </c>
      <c r="J55">
        <v>12.64</v>
      </c>
      <c r="K55" t="s">
        <v>176</v>
      </c>
      <c r="L55">
        <v>5982</v>
      </c>
      <c r="M55">
        <v>78</v>
      </c>
      <c r="N55">
        <v>95</v>
      </c>
      <c r="O55" t="s">
        <v>32</v>
      </c>
      <c r="P55">
        <v>6</v>
      </c>
      <c r="Q55" t="s">
        <v>78</v>
      </c>
      <c r="R55" t="s">
        <v>45</v>
      </c>
      <c r="S55">
        <v>49</v>
      </c>
      <c r="T55" t="s">
        <v>46</v>
      </c>
      <c r="U55" t="s">
        <v>124</v>
      </c>
      <c r="V55">
        <v>75766</v>
      </c>
      <c r="W55">
        <v>11</v>
      </c>
      <c r="X55">
        <v>71</v>
      </c>
      <c r="Y55">
        <v>68</v>
      </c>
    </row>
    <row r="56" spans="1:25">
      <c r="A56">
        <v>55</v>
      </c>
      <c r="B56" t="s">
        <v>177</v>
      </c>
      <c r="C56">
        <v>16</v>
      </c>
      <c r="D56" t="s">
        <v>71</v>
      </c>
      <c r="E56" t="s">
        <v>59</v>
      </c>
      <c r="F56" t="s">
        <v>77</v>
      </c>
      <c r="G56" t="s">
        <v>72</v>
      </c>
      <c r="H56" t="s">
        <v>67</v>
      </c>
      <c r="I56">
        <v>32.49</v>
      </c>
      <c r="J56">
        <v>19.850000000000001</v>
      </c>
      <c r="K56" t="s">
        <v>121</v>
      </c>
      <c r="L56">
        <v>2278</v>
      </c>
      <c r="M56">
        <v>103</v>
      </c>
      <c r="N56">
        <v>143</v>
      </c>
      <c r="O56" t="s">
        <v>97</v>
      </c>
      <c r="P56">
        <v>4</v>
      </c>
      <c r="Q56" t="s">
        <v>91</v>
      </c>
      <c r="R56" t="s">
        <v>55</v>
      </c>
      <c r="S56">
        <v>5</v>
      </c>
      <c r="T56" t="s">
        <v>56</v>
      </c>
      <c r="U56" t="s">
        <v>158</v>
      </c>
      <c r="V56">
        <v>57773</v>
      </c>
      <c r="W56">
        <v>12</v>
      </c>
      <c r="X56">
        <v>14</v>
      </c>
      <c r="Y56">
        <v>40</v>
      </c>
    </row>
    <row r="57" spans="1:25">
      <c r="A57">
        <v>56</v>
      </c>
      <c r="B57" t="s">
        <v>178</v>
      </c>
      <c r="C57">
        <v>15</v>
      </c>
      <c r="D57" t="s">
        <v>71</v>
      </c>
      <c r="E57" t="s">
        <v>59</v>
      </c>
      <c r="F57" t="s">
        <v>39</v>
      </c>
      <c r="G57" t="s">
        <v>86</v>
      </c>
      <c r="H57" t="s">
        <v>67</v>
      </c>
      <c r="I57">
        <v>30.19</v>
      </c>
      <c r="J57">
        <v>12.78</v>
      </c>
      <c r="K57" t="s">
        <v>121</v>
      </c>
      <c r="L57">
        <v>11286</v>
      </c>
      <c r="M57">
        <v>93</v>
      </c>
      <c r="N57">
        <v>155</v>
      </c>
      <c r="O57" t="s">
        <v>53</v>
      </c>
      <c r="P57">
        <v>4</v>
      </c>
      <c r="Q57" t="s">
        <v>82</v>
      </c>
      <c r="R57" t="s">
        <v>55</v>
      </c>
      <c r="S57">
        <v>80</v>
      </c>
      <c r="T57" t="s">
        <v>35</v>
      </c>
      <c r="U57" t="s">
        <v>179</v>
      </c>
      <c r="V57">
        <v>11150</v>
      </c>
      <c r="W57">
        <v>28</v>
      </c>
      <c r="X57">
        <v>63</v>
      </c>
      <c r="Y57">
        <v>77</v>
      </c>
    </row>
    <row r="58" spans="1:25">
      <c r="A58">
        <v>57</v>
      </c>
      <c r="B58" t="s">
        <v>180</v>
      </c>
      <c r="C58">
        <v>12</v>
      </c>
      <c r="D58" t="s">
        <v>26</v>
      </c>
      <c r="E58" t="s">
        <v>27</v>
      </c>
      <c r="F58" t="s">
        <v>28</v>
      </c>
      <c r="G58" t="s">
        <v>72</v>
      </c>
      <c r="H58" t="s">
        <v>104</v>
      </c>
      <c r="I58">
        <v>17.3</v>
      </c>
      <c r="J58">
        <v>9.98</v>
      </c>
      <c r="K58" t="s">
        <v>73</v>
      </c>
      <c r="L58">
        <v>9031</v>
      </c>
      <c r="M58">
        <v>23</v>
      </c>
      <c r="N58">
        <v>81</v>
      </c>
      <c r="O58" t="s">
        <v>32</v>
      </c>
      <c r="P58">
        <v>8</v>
      </c>
      <c r="Q58" t="s">
        <v>68</v>
      </c>
      <c r="R58" t="s">
        <v>55</v>
      </c>
      <c r="S58">
        <v>99</v>
      </c>
      <c r="T58" t="s">
        <v>35</v>
      </c>
      <c r="U58" t="s">
        <v>119</v>
      </c>
      <c r="V58">
        <v>3005</v>
      </c>
      <c r="W58">
        <v>37</v>
      </c>
      <c r="X58">
        <v>43</v>
      </c>
      <c r="Y58">
        <v>89</v>
      </c>
    </row>
    <row r="59" spans="1:25">
      <c r="A59">
        <v>58</v>
      </c>
      <c r="B59" t="s">
        <v>181</v>
      </c>
      <c r="C59">
        <v>14</v>
      </c>
      <c r="D59" t="s">
        <v>71</v>
      </c>
      <c r="E59" t="s">
        <v>27</v>
      </c>
      <c r="F59" t="s">
        <v>65</v>
      </c>
      <c r="G59" t="s">
        <v>141</v>
      </c>
      <c r="H59" t="s">
        <v>93</v>
      </c>
      <c r="I59">
        <v>28.95</v>
      </c>
      <c r="J59">
        <v>1.42</v>
      </c>
      <c r="K59" t="s">
        <v>31</v>
      </c>
      <c r="L59">
        <v>10974</v>
      </c>
      <c r="M59">
        <v>40</v>
      </c>
      <c r="N59">
        <v>91</v>
      </c>
      <c r="O59" t="s">
        <v>97</v>
      </c>
      <c r="P59">
        <v>10</v>
      </c>
      <c r="Q59" t="s">
        <v>95</v>
      </c>
      <c r="R59" t="s">
        <v>45</v>
      </c>
      <c r="S59">
        <v>2</v>
      </c>
      <c r="T59" t="s">
        <v>46</v>
      </c>
      <c r="U59" t="s">
        <v>179</v>
      </c>
      <c r="V59">
        <v>83778</v>
      </c>
      <c r="W59">
        <v>73</v>
      </c>
      <c r="X59">
        <v>12</v>
      </c>
      <c r="Y59">
        <v>81</v>
      </c>
    </row>
    <row r="60" spans="1:25">
      <c r="A60">
        <v>59</v>
      </c>
      <c r="B60" t="s">
        <v>182</v>
      </c>
      <c r="C60">
        <v>9</v>
      </c>
      <c r="D60" t="s">
        <v>71</v>
      </c>
      <c r="E60" t="s">
        <v>59</v>
      </c>
      <c r="F60" t="s">
        <v>39</v>
      </c>
      <c r="G60" t="s">
        <v>100</v>
      </c>
      <c r="H60" t="s">
        <v>30</v>
      </c>
      <c r="I60">
        <v>27.02</v>
      </c>
      <c r="J60">
        <v>20.059999999999999</v>
      </c>
      <c r="K60" t="s">
        <v>121</v>
      </c>
      <c r="L60">
        <v>2181</v>
      </c>
      <c r="M60">
        <v>91</v>
      </c>
      <c r="N60">
        <v>146</v>
      </c>
      <c r="O60" t="s">
        <v>43</v>
      </c>
      <c r="P60">
        <v>4</v>
      </c>
      <c r="Q60" t="s">
        <v>62</v>
      </c>
      <c r="R60" t="s">
        <v>105</v>
      </c>
      <c r="S60">
        <v>68</v>
      </c>
      <c r="T60" t="s">
        <v>35</v>
      </c>
      <c r="U60" t="s">
        <v>179</v>
      </c>
      <c r="V60">
        <v>15495</v>
      </c>
      <c r="W60">
        <v>72</v>
      </c>
      <c r="X60">
        <v>3</v>
      </c>
      <c r="Y60">
        <v>46</v>
      </c>
    </row>
    <row r="61" spans="1:25">
      <c r="A61">
        <v>60</v>
      </c>
      <c r="B61" t="s">
        <v>183</v>
      </c>
      <c r="C61">
        <v>4</v>
      </c>
      <c r="D61" t="s">
        <v>184</v>
      </c>
      <c r="E61" t="s">
        <v>38</v>
      </c>
      <c r="F61" t="s">
        <v>60</v>
      </c>
      <c r="G61" t="s">
        <v>51</v>
      </c>
      <c r="H61" t="s">
        <v>104</v>
      </c>
      <c r="I61">
        <v>32.76</v>
      </c>
      <c r="J61">
        <v>3.11</v>
      </c>
      <c r="K61" t="s">
        <v>73</v>
      </c>
      <c r="L61">
        <v>10715</v>
      </c>
      <c r="M61">
        <v>112</v>
      </c>
      <c r="N61">
        <v>141</v>
      </c>
      <c r="O61" t="s">
        <v>53</v>
      </c>
      <c r="P61">
        <v>7</v>
      </c>
      <c r="Q61" t="s">
        <v>62</v>
      </c>
      <c r="R61" t="s">
        <v>34</v>
      </c>
      <c r="S61">
        <v>65</v>
      </c>
      <c r="T61" t="s">
        <v>56</v>
      </c>
      <c r="U61" t="s">
        <v>89</v>
      </c>
      <c r="V61">
        <v>42118</v>
      </c>
      <c r="W61">
        <v>42</v>
      </c>
      <c r="X61">
        <v>72</v>
      </c>
      <c r="Y61">
        <v>87</v>
      </c>
    </row>
    <row r="62" spans="1:25">
      <c r="A62">
        <v>61</v>
      </c>
      <c r="B62" t="s">
        <v>185</v>
      </c>
      <c r="C62">
        <v>2</v>
      </c>
      <c r="D62" t="s">
        <v>184</v>
      </c>
      <c r="E62" t="s">
        <v>38</v>
      </c>
      <c r="F62" t="s">
        <v>28</v>
      </c>
      <c r="G62" t="s">
        <v>145</v>
      </c>
      <c r="H62" t="s">
        <v>67</v>
      </c>
      <c r="I62">
        <v>24.22</v>
      </c>
      <c r="J62">
        <v>8.8000000000000007</v>
      </c>
      <c r="K62" t="s">
        <v>108</v>
      </c>
      <c r="L62">
        <v>6856</v>
      </c>
      <c r="M62">
        <v>84</v>
      </c>
      <c r="N62">
        <v>124</v>
      </c>
      <c r="O62" t="s">
        <v>43</v>
      </c>
      <c r="P62">
        <v>12</v>
      </c>
      <c r="Q62" t="s">
        <v>78</v>
      </c>
      <c r="R62" t="s">
        <v>45</v>
      </c>
      <c r="S62">
        <v>41</v>
      </c>
      <c r="T62" t="s">
        <v>35</v>
      </c>
      <c r="U62" t="s">
        <v>106</v>
      </c>
      <c r="V62">
        <v>71180</v>
      </c>
      <c r="W62">
        <v>55</v>
      </c>
      <c r="X62">
        <v>45</v>
      </c>
      <c r="Y62">
        <v>45</v>
      </c>
    </row>
    <row r="63" spans="1:25">
      <c r="A63">
        <v>62</v>
      </c>
      <c r="B63" t="s">
        <v>186</v>
      </c>
      <c r="C63">
        <v>11</v>
      </c>
      <c r="D63" t="s">
        <v>26</v>
      </c>
      <c r="E63" t="s">
        <v>38</v>
      </c>
      <c r="F63" t="s">
        <v>85</v>
      </c>
      <c r="G63" t="s">
        <v>72</v>
      </c>
      <c r="H63" t="s">
        <v>67</v>
      </c>
      <c r="I63">
        <v>15.38</v>
      </c>
      <c r="J63">
        <v>22.41</v>
      </c>
      <c r="K63" t="s">
        <v>42</v>
      </c>
      <c r="L63">
        <v>3427</v>
      </c>
      <c r="M63">
        <v>110</v>
      </c>
      <c r="N63">
        <v>95</v>
      </c>
      <c r="O63" t="s">
        <v>53</v>
      </c>
      <c r="P63">
        <v>2</v>
      </c>
      <c r="Q63" t="s">
        <v>91</v>
      </c>
      <c r="R63" t="s">
        <v>55</v>
      </c>
      <c r="S63">
        <v>86</v>
      </c>
      <c r="T63" t="s">
        <v>46</v>
      </c>
      <c r="U63" t="s">
        <v>98</v>
      </c>
      <c r="V63">
        <v>71307</v>
      </c>
      <c r="W63">
        <v>99</v>
      </c>
      <c r="X63">
        <v>38</v>
      </c>
      <c r="Y63">
        <v>63</v>
      </c>
    </row>
    <row r="64" spans="1:25">
      <c r="A64">
        <v>63</v>
      </c>
      <c r="B64" t="s">
        <v>187</v>
      </c>
      <c r="C64">
        <v>12</v>
      </c>
      <c r="D64" t="s">
        <v>71</v>
      </c>
      <c r="E64" t="s">
        <v>27</v>
      </c>
      <c r="F64" t="s">
        <v>39</v>
      </c>
      <c r="G64" t="s">
        <v>126</v>
      </c>
      <c r="H64" t="s">
        <v>41</v>
      </c>
      <c r="I64">
        <v>37.04</v>
      </c>
      <c r="J64">
        <v>4.1900000000000004</v>
      </c>
      <c r="K64" t="s">
        <v>73</v>
      </c>
      <c r="L64">
        <v>9164</v>
      </c>
      <c r="M64">
        <v>50</v>
      </c>
      <c r="N64">
        <v>125</v>
      </c>
      <c r="O64" t="s">
        <v>87</v>
      </c>
      <c r="P64">
        <v>7</v>
      </c>
      <c r="Q64" t="s">
        <v>68</v>
      </c>
      <c r="R64" t="s">
        <v>34</v>
      </c>
      <c r="S64">
        <v>71</v>
      </c>
      <c r="T64" t="s">
        <v>56</v>
      </c>
      <c r="U64" t="s">
        <v>36</v>
      </c>
      <c r="V64">
        <v>21938</v>
      </c>
      <c r="W64">
        <v>89</v>
      </c>
      <c r="X64">
        <v>70</v>
      </c>
      <c r="Y64">
        <v>54</v>
      </c>
    </row>
    <row r="65" spans="1:25">
      <c r="A65">
        <v>64</v>
      </c>
      <c r="B65" t="s">
        <v>188</v>
      </c>
      <c r="C65">
        <v>17</v>
      </c>
      <c r="D65" t="s">
        <v>71</v>
      </c>
      <c r="E65" t="s">
        <v>27</v>
      </c>
      <c r="F65" t="s">
        <v>77</v>
      </c>
      <c r="G65" t="s">
        <v>80</v>
      </c>
      <c r="H65" t="s">
        <v>41</v>
      </c>
      <c r="I65">
        <v>11.85</v>
      </c>
      <c r="J65">
        <v>10.56</v>
      </c>
      <c r="K65" t="s">
        <v>31</v>
      </c>
      <c r="L65">
        <v>8781</v>
      </c>
      <c r="M65">
        <v>37</v>
      </c>
      <c r="N65">
        <v>128</v>
      </c>
      <c r="O65" t="s">
        <v>32</v>
      </c>
      <c r="P65">
        <v>12</v>
      </c>
      <c r="Q65" t="s">
        <v>137</v>
      </c>
      <c r="R65" t="s">
        <v>105</v>
      </c>
      <c r="S65">
        <v>79</v>
      </c>
      <c r="T65" t="s">
        <v>56</v>
      </c>
      <c r="U65" t="s">
        <v>57</v>
      </c>
      <c r="V65">
        <v>65080</v>
      </c>
      <c r="W65">
        <v>22</v>
      </c>
      <c r="X65">
        <v>90</v>
      </c>
      <c r="Y65">
        <v>48</v>
      </c>
    </row>
    <row r="66" spans="1:25">
      <c r="A66">
        <v>65</v>
      </c>
      <c r="B66" t="s">
        <v>189</v>
      </c>
      <c r="C66">
        <v>6</v>
      </c>
      <c r="D66" t="s">
        <v>71</v>
      </c>
      <c r="E66" t="s">
        <v>49</v>
      </c>
      <c r="F66" t="s">
        <v>28</v>
      </c>
      <c r="G66" t="s">
        <v>80</v>
      </c>
      <c r="H66" t="s">
        <v>93</v>
      </c>
      <c r="I66">
        <v>42.35</v>
      </c>
      <c r="J66">
        <v>11.38</v>
      </c>
      <c r="K66" t="s">
        <v>121</v>
      </c>
      <c r="L66">
        <v>1649</v>
      </c>
      <c r="M66">
        <v>73</v>
      </c>
      <c r="N66">
        <v>127</v>
      </c>
      <c r="O66" t="s">
        <v>32</v>
      </c>
      <c r="P66">
        <v>7</v>
      </c>
      <c r="Q66" t="s">
        <v>134</v>
      </c>
      <c r="R66" t="s">
        <v>34</v>
      </c>
      <c r="S66">
        <v>28</v>
      </c>
      <c r="T66" t="s">
        <v>35</v>
      </c>
      <c r="U66" t="s">
        <v>106</v>
      </c>
      <c r="V66">
        <v>87218</v>
      </c>
      <c r="W66">
        <v>12</v>
      </c>
      <c r="X66">
        <v>23</v>
      </c>
      <c r="Y66">
        <v>84</v>
      </c>
    </row>
    <row r="67" spans="1:25">
      <c r="A67">
        <v>66</v>
      </c>
      <c r="B67" t="s">
        <v>190</v>
      </c>
      <c r="C67">
        <v>18</v>
      </c>
      <c r="D67" t="s">
        <v>26</v>
      </c>
      <c r="E67" t="s">
        <v>38</v>
      </c>
      <c r="F67" t="s">
        <v>39</v>
      </c>
      <c r="G67" t="s">
        <v>40</v>
      </c>
      <c r="H67" t="s">
        <v>104</v>
      </c>
      <c r="I67">
        <v>17.48</v>
      </c>
      <c r="J67">
        <v>19.41</v>
      </c>
      <c r="K67" t="s">
        <v>73</v>
      </c>
      <c r="L67">
        <v>6387</v>
      </c>
      <c r="M67">
        <v>45</v>
      </c>
      <c r="N67">
        <v>63</v>
      </c>
      <c r="O67" t="s">
        <v>53</v>
      </c>
      <c r="P67">
        <v>0</v>
      </c>
      <c r="Q67" t="s">
        <v>33</v>
      </c>
      <c r="R67" t="s">
        <v>34</v>
      </c>
      <c r="S67">
        <v>10</v>
      </c>
      <c r="T67" t="s">
        <v>35</v>
      </c>
      <c r="U67" t="s">
        <v>69</v>
      </c>
      <c r="V67">
        <v>98100</v>
      </c>
      <c r="W67">
        <v>8</v>
      </c>
      <c r="X67">
        <v>95</v>
      </c>
      <c r="Y67">
        <v>27</v>
      </c>
    </row>
    <row r="68" spans="1:25">
      <c r="A68">
        <v>67</v>
      </c>
      <c r="B68" t="s">
        <v>191</v>
      </c>
      <c r="C68">
        <v>14</v>
      </c>
      <c r="D68" t="s">
        <v>26</v>
      </c>
      <c r="E68" t="s">
        <v>38</v>
      </c>
      <c r="F68" t="s">
        <v>65</v>
      </c>
      <c r="G68" t="s">
        <v>86</v>
      </c>
      <c r="H68" t="s">
        <v>104</v>
      </c>
      <c r="I68">
        <v>18.600000000000001</v>
      </c>
      <c r="J68">
        <v>4.2</v>
      </c>
      <c r="K68" t="s">
        <v>73</v>
      </c>
      <c r="L68">
        <v>1737</v>
      </c>
      <c r="M68">
        <v>74</v>
      </c>
      <c r="N68">
        <v>125</v>
      </c>
      <c r="O68" t="s">
        <v>87</v>
      </c>
      <c r="P68">
        <v>1</v>
      </c>
      <c r="Q68" t="s">
        <v>127</v>
      </c>
      <c r="R68" t="s">
        <v>34</v>
      </c>
      <c r="S68">
        <v>17</v>
      </c>
      <c r="T68" t="s">
        <v>35</v>
      </c>
      <c r="U68" t="s">
        <v>179</v>
      </c>
      <c r="V68">
        <v>52956</v>
      </c>
      <c r="W68">
        <v>74</v>
      </c>
      <c r="X68">
        <v>42</v>
      </c>
      <c r="Y68">
        <v>17</v>
      </c>
    </row>
    <row r="69" spans="1:25">
      <c r="A69">
        <v>68</v>
      </c>
      <c r="B69" t="s">
        <v>192</v>
      </c>
      <c r="C69">
        <v>17</v>
      </c>
      <c r="D69" t="s">
        <v>144</v>
      </c>
      <c r="E69" t="s">
        <v>49</v>
      </c>
      <c r="F69" t="s">
        <v>28</v>
      </c>
      <c r="G69" t="s">
        <v>126</v>
      </c>
      <c r="H69" t="s">
        <v>93</v>
      </c>
      <c r="I69">
        <v>18.73</v>
      </c>
      <c r="J69">
        <v>16.13</v>
      </c>
      <c r="K69" t="s">
        <v>31</v>
      </c>
      <c r="L69">
        <v>5827</v>
      </c>
      <c r="M69">
        <v>55</v>
      </c>
      <c r="N69">
        <v>92</v>
      </c>
      <c r="O69" t="s">
        <v>53</v>
      </c>
      <c r="P69">
        <v>9</v>
      </c>
      <c r="Q69" t="s">
        <v>91</v>
      </c>
      <c r="R69" t="s">
        <v>34</v>
      </c>
      <c r="S69">
        <v>32</v>
      </c>
      <c r="T69" t="s">
        <v>46</v>
      </c>
      <c r="U69" t="s">
        <v>83</v>
      </c>
      <c r="V69">
        <v>77121</v>
      </c>
      <c r="W69">
        <v>76</v>
      </c>
      <c r="X69">
        <v>56</v>
      </c>
      <c r="Y69">
        <v>41</v>
      </c>
    </row>
    <row r="70" spans="1:25">
      <c r="A70">
        <v>69</v>
      </c>
      <c r="B70" t="s">
        <v>193</v>
      </c>
      <c r="C70">
        <v>8</v>
      </c>
      <c r="D70" t="s">
        <v>26</v>
      </c>
      <c r="E70" t="s">
        <v>27</v>
      </c>
      <c r="F70" t="s">
        <v>60</v>
      </c>
      <c r="G70" t="s">
        <v>66</v>
      </c>
      <c r="H70" t="s">
        <v>41</v>
      </c>
      <c r="I70">
        <v>13.11</v>
      </c>
      <c r="J70">
        <v>10.28</v>
      </c>
      <c r="K70" t="s">
        <v>31</v>
      </c>
      <c r="L70">
        <v>8026</v>
      </c>
      <c r="M70">
        <v>102</v>
      </c>
      <c r="N70">
        <v>62</v>
      </c>
      <c r="O70" t="s">
        <v>97</v>
      </c>
      <c r="P70">
        <v>1</v>
      </c>
      <c r="Q70" t="s">
        <v>88</v>
      </c>
      <c r="R70" t="s">
        <v>34</v>
      </c>
      <c r="S70">
        <v>72</v>
      </c>
      <c r="T70" t="s">
        <v>56</v>
      </c>
      <c r="U70" t="s">
        <v>162</v>
      </c>
      <c r="V70">
        <v>72813</v>
      </c>
      <c r="W70">
        <v>46</v>
      </c>
      <c r="X70">
        <v>33</v>
      </c>
      <c r="Y70">
        <v>40</v>
      </c>
    </row>
    <row r="71" spans="1:25">
      <c r="A71">
        <v>70</v>
      </c>
      <c r="B71" t="s">
        <v>76</v>
      </c>
      <c r="C71">
        <v>15</v>
      </c>
      <c r="D71" t="s">
        <v>144</v>
      </c>
      <c r="E71" t="s">
        <v>27</v>
      </c>
      <c r="F71" t="s">
        <v>39</v>
      </c>
      <c r="G71" t="s">
        <v>29</v>
      </c>
      <c r="H71" t="s">
        <v>67</v>
      </c>
      <c r="I71">
        <v>27.54</v>
      </c>
      <c r="J71">
        <v>10.67</v>
      </c>
      <c r="K71" t="s">
        <v>73</v>
      </c>
      <c r="L71">
        <v>11219</v>
      </c>
      <c r="M71">
        <v>111</v>
      </c>
      <c r="N71">
        <v>118</v>
      </c>
      <c r="O71" t="s">
        <v>43</v>
      </c>
      <c r="P71">
        <v>10</v>
      </c>
      <c r="Q71" t="s">
        <v>78</v>
      </c>
      <c r="R71" t="s">
        <v>34</v>
      </c>
      <c r="S71">
        <v>32</v>
      </c>
      <c r="T71" t="s">
        <v>35</v>
      </c>
      <c r="U71" t="s">
        <v>138</v>
      </c>
      <c r="V71">
        <v>51268</v>
      </c>
      <c r="W71">
        <v>44</v>
      </c>
      <c r="X71">
        <v>19</v>
      </c>
      <c r="Y71">
        <v>73</v>
      </c>
    </row>
    <row r="72" spans="1:25">
      <c r="A72">
        <v>71</v>
      </c>
      <c r="B72" t="s">
        <v>194</v>
      </c>
      <c r="C72">
        <v>15</v>
      </c>
      <c r="D72" t="s">
        <v>71</v>
      </c>
      <c r="E72" t="s">
        <v>38</v>
      </c>
      <c r="F72" t="s">
        <v>28</v>
      </c>
      <c r="G72" t="s">
        <v>145</v>
      </c>
      <c r="H72" t="s">
        <v>104</v>
      </c>
      <c r="I72">
        <v>19.72</v>
      </c>
      <c r="J72">
        <v>17.68</v>
      </c>
      <c r="K72" t="s">
        <v>31</v>
      </c>
      <c r="L72">
        <v>6261</v>
      </c>
      <c r="M72">
        <v>20</v>
      </c>
      <c r="N72">
        <v>128</v>
      </c>
      <c r="O72" t="s">
        <v>43</v>
      </c>
      <c r="P72">
        <v>5</v>
      </c>
      <c r="Q72" t="s">
        <v>132</v>
      </c>
      <c r="R72" t="s">
        <v>55</v>
      </c>
      <c r="S72">
        <v>50</v>
      </c>
      <c r="T72" t="s">
        <v>46</v>
      </c>
      <c r="U72" t="s">
        <v>179</v>
      </c>
      <c r="V72">
        <v>76578</v>
      </c>
      <c r="W72">
        <v>99</v>
      </c>
      <c r="X72">
        <v>11</v>
      </c>
      <c r="Y72">
        <v>78</v>
      </c>
    </row>
    <row r="73" spans="1:25">
      <c r="A73">
        <v>72</v>
      </c>
      <c r="B73" t="s">
        <v>195</v>
      </c>
      <c r="C73">
        <v>4</v>
      </c>
      <c r="D73" t="s">
        <v>26</v>
      </c>
      <c r="E73" t="s">
        <v>27</v>
      </c>
      <c r="F73" t="s">
        <v>50</v>
      </c>
      <c r="G73" t="s">
        <v>141</v>
      </c>
      <c r="H73" t="s">
        <v>104</v>
      </c>
      <c r="I73">
        <v>12.55</v>
      </c>
      <c r="J73">
        <v>18.239999999999998</v>
      </c>
      <c r="K73" t="s">
        <v>73</v>
      </c>
      <c r="L73">
        <v>13099</v>
      </c>
      <c r="M73">
        <v>98</v>
      </c>
      <c r="N73">
        <v>138</v>
      </c>
      <c r="O73" t="s">
        <v>43</v>
      </c>
      <c r="P73">
        <v>3</v>
      </c>
      <c r="Q73" t="s">
        <v>132</v>
      </c>
      <c r="R73" t="s">
        <v>45</v>
      </c>
      <c r="S73">
        <v>19</v>
      </c>
      <c r="T73" t="s">
        <v>46</v>
      </c>
      <c r="U73" t="s">
        <v>196</v>
      </c>
      <c r="V73">
        <v>46654</v>
      </c>
      <c r="W73">
        <v>82</v>
      </c>
      <c r="X73">
        <v>97</v>
      </c>
      <c r="Y73">
        <v>38</v>
      </c>
    </row>
    <row r="74" spans="1:25">
      <c r="A74">
        <v>73</v>
      </c>
      <c r="B74" t="s">
        <v>197</v>
      </c>
      <c r="C74">
        <v>16</v>
      </c>
      <c r="D74" t="s">
        <v>71</v>
      </c>
      <c r="E74" t="s">
        <v>59</v>
      </c>
      <c r="F74" t="s">
        <v>65</v>
      </c>
      <c r="G74" t="s">
        <v>61</v>
      </c>
      <c r="H74" t="s">
        <v>104</v>
      </c>
      <c r="I74">
        <v>16.670000000000002</v>
      </c>
      <c r="J74">
        <v>7.14</v>
      </c>
      <c r="K74" t="s">
        <v>94</v>
      </c>
      <c r="L74">
        <v>3444</v>
      </c>
      <c r="M74">
        <v>29</v>
      </c>
      <c r="N74">
        <v>158</v>
      </c>
      <c r="O74" t="s">
        <v>97</v>
      </c>
      <c r="P74">
        <v>0</v>
      </c>
      <c r="Q74" t="s">
        <v>74</v>
      </c>
      <c r="R74" t="s">
        <v>105</v>
      </c>
      <c r="S74">
        <v>23</v>
      </c>
      <c r="T74" t="s">
        <v>46</v>
      </c>
      <c r="U74" t="s">
        <v>196</v>
      </c>
      <c r="V74">
        <v>17326</v>
      </c>
      <c r="W74">
        <v>67</v>
      </c>
      <c r="X74">
        <v>72</v>
      </c>
      <c r="Y74">
        <v>18</v>
      </c>
    </row>
    <row r="75" spans="1:25">
      <c r="A75">
        <v>74</v>
      </c>
      <c r="B75" t="s">
        <v>198</v>
      </c>
      <c r="C75">
        <v>1</v>
      </c>
      <c r="D75" t="s">
        <v>26</v>
      </c>
      <c r="E75" t="s">
        <v>27</v>
      </c>
      <c r="F75" t="s">
        <v>28</v>
      </c>
      <c r="G75" t="s">
        <v>29</v>
      </c>
      <c r="H75" t="s">
        <v>30</v>
      </c>
      <c r="I75">
        <v>19.18</v>
      </c>
      <c r="J75">
        <v>5.6</v>
      </c>
      <c r="K75" t="s">
        <v>108</v>
      </c>
      <c r="L75">
        <v>3252</v>
      </c>
      <c r="M75">
        <v>107</v>
      </c>
      <c r="N75">
        <v>66</v>
      </c>
      <c r="O75" t="s">
        <v>43</v>
      </c>
      <c r="P75">
        <v>5</v>
      </c>
      <c r="Q75" t="s">
        <v>95</v>
      </c>
      <c r="R75" t="s">
        <v>34</v>
      </c>
      <c r="S75">
        <v>44</v>
      </c>
      <c r="T75" t="s">
        <v>35</v>
      </c>
      <c r="U75" t="s">
        <v>47</v>
      </c>
      <c r="V75">
        <v>24296</v>
      </c>
      <c r="W75">
        <v>1</v>
      </c>
      <c r="X75">
        <v>15</v>
      </c>
      <c r="Y75">
        <v>43</v>
      </c>
    </row>
    <row r="76" spans="1:25">
      <c r="A76">
        <v>75</v>
      </c>
      <c r="B76" t="s">
        <v>199</v>
      </c>
      <c r="C76">
        <v>16</v>
      </c>
      <c r="D76" t="s">
        <v>71</v>
      </c>
      <c r="E76" t="s">
        <v>27</v>
      </c>
      <c r="F76" t="s">
        <v>39</v>
      </c>
      <c r="G76" t="s">
        <v>141</v>
      </c>
      <c r="H76" t="s">
        <v>30</v>
      </c>
      <c r="I76">
        <v>17.559999999999999</v>
      </c>
      <c r="J76">
        <v>6.95</v>
      </c>
      <c r="K76" t="s">
        <v>31</v>
      </c>
      <c r="L76">
        <v>5135</v>
      </c>
      <c r="M76">
        <v>105</v>
      </c>
      <c r="N76">
        <v>93</v>
      </c>
      <c r="O76" t="s">
        <v>53</v>
      </c>
      <c r="P76">
        <v>11</v>
      </c>
      <c r="Q76" t="s">
        <v>114</v>
      </c>
      <c r="R76" t="s">
        <v>45</v>
      </c>
      <c r="S76">
        <v>37</v>
      </c>
      <c r="T76" t="s">
        <v>56</v>
      </c>
      <c r="U76" t="s">
        <v>57</v>
      </c>
      <c r="V76">
        <v>45449</v>
      </c>
      <c r="W76">
        <v>54</v>
      </c>
      <c r="X76">
        <v>45</v>
      </c>
      <c r="Y76">
        <v>33</v>
      </c>
    </row>
    <row r="77" spans="1:25">
      <c r="A77">
        <v>76</v>
      </c>
      <c r="B77" t="s">
        <v>200</v>
      </c>
      <c r="C77">
        <v>10</v>
      </c>
      <c r="D77" t="s">
        <v>26</v>
      </c>
      <c r="E77" t="s">
        <v>27</v>
      </c>
      <c r="F77" t="s">
        <v>85</v>
      </c>
      <c r="G77" t="s">
        <v>80</v>
      </c>
      <c r="H77" t="s">
        <v>41</v>
      </c>
      <c r="I77">
        <v>37.33</v>
      </c>
      <c r="J77">
        <v>1.69</v>
      </c>
      <c r="K77" t="s">
        <v>31</v>
      </c>
      <c r="L77">
        <v>9148</v>
      </c>
      <c r="M77">
        <v>108</v>
      </c>
      <c r="N77">
        <v>68</v>
      </c>
      <c r="O77" t="s">
        <v>43</v>
      </c>
      <c r="P77">
        <v>2</v>
      </c>
      <c r="Q77" t="s">
        <v>137</v>
      </c>
      <c r="R77" t="s">
        <v>34</v>
      </c>
      <c r="S77">
        <v>9</v>
      </c>
      <c r="T77" t="s">
        <v>46</v>
      </c>
      <c r="U77" t="s">
        <v>36</v>
      </c>
      <c r="V77">
        <v>35911</v>
      </c>
      <c r="W77">
        <v>75</v>
      </c>
      <c r="X77">
        <v>91</v>
      </c>
      <c r="Y77">
        <v>10</v>
      </c>
    </row>
    <row r="78" spans="1:25">
      <c r="A78">
        <v>77</v>
      </c>
      <c r="B78" t="s">
        <v>201</v>
      </c>
      <c r="C78">
        <v>2</v>
      </c>
      <c r="D78" t="s">
        <v>184</v>
      </c>
      <c r="E78" t="s">
        <v>59</v>
      </c>
      <c r="F78" t="s">
        <v>77</v>
      </c>
      <c r="G78" t="s">
        <v>86</v>
      </c>
      <c r="H78" t="s">
        <v>41</v>
      </c>
      <c r="I78">
        <v>10.119999999999999</v>
      </c>
      <c r="J78">
        <v>0.18</v>
      </c>
      <c r="K78" t="s">
        <v>31</v>
      </c>
      <c r="L78">
        <v>7006</v>
      </c>
      <c r="M78">
        <v>80</v>
      </c>
      <c r="N78">
        <v>68</v>
      </c>
      <c r="O78" t="s">
        <v>53</v>
      </c>
      <c r="P78">
        <v>5</v>
      </c>
      <c r="Q78" t="s">
        <v>82</v>
      </c>
      <c r="R78" t="s">
        <v>45</v>
      </c>
      <c r="S78">
        <v>30</v>
      </c>
      <c r="T78" t="s">
        <v>46</v>
      </c>
      <c r="U78" t="s">
        <v>57</v>
      </c>
      <c r="V78">
        <v>69736</v>
      </c>
      <c r="W78">
        <v>6</v>
      </c>
      <c r="X78">
        <v>48</v>
      </c>
      <c r="Y78">
        <v>68</v>
      </c>
    </row>
    <row r="79" spans="1:25">
      <c r="A79">
        <v>78</v>
      </c>
      <c r="B79" t="s">
        <v>202</v>
      </c>
      <c r="C79">
        <v>13</v>
      </c>
      <c r="D79" t="s">
        <v>71</v>
      </c>
      <c r="E79" t="s">
        <v>49</v>
      </c>
      <c r="F79" t="s">
        <v>28</v>
      </c>
      <c r="G79" t="s">
        <v>100</v>
      </c>
      <c r="H79" t="s">
        <v>30</v>
      </c>
      <c r="I79">
        <v>24.88</v>
      </c>
      <c r="J79">
        <v>19.420000000000002</v>
      </c>
      <c r="K79" t="s">
        <v>81</v>
      </c>
      <c r="L79">
        <v>1491</v>
      </c>
      <c r="M79">
        <v>22</v>
      </c>
      <c r="N79">
        <v>105</v>
      </c>
      <c r="O79" t="s">
        <v>53</v>
      </c>
      <c r="P79">
        <v>4</v>
      </c>
      <c r="Q79" t="s">
        <v>54</v>
      </c>
      <c r="R79" t="s">
        <v>45</v>
      </c>
      <c r="S79">
        <v>15</v>
      </c>
      <c r="T79" t="s">
        <v>46</v>
      </c>
      <c r="U79" t="s">
        <v>119</v>
      </c>
      <c r="V79">
        <v>86861</v>
      </c>
      <c r="W79">
        <v>97</v>
      </c>
      <c r="X79">
        <v>55</v>
      </c>
      <c r="Y79">
        <v>79</v>
      </c>
    </row>
    <row r="80" spans="1:25">
      <c r="A80">
        <v>79</v>
      </c>
      <c r="B80" t="s">
        <v>203</v>
      </c>
      <c r="C80">
        <v>2</v>
      </c>
      <c r="D80" t="s">
        <v>71</v>
      </c>
      <c r="E80" t="s">
        <v>49</v>
      </c>
      <c r="F80" t="s">
        <v>39</v>
      </c>
      <c r="G80" t="s">
        <v>29</v>
      </c>
      <c r="H80" t="s">
        <v>41</v>
      </c>
      <c r="I80">
        <v>35.54</v>
      </c>
      <c r="J80">
        <v>15.99</v>
      </c>
      <c r="K80" t="s">
        <v>121</v>
      </c>
      <c r="L80">
        <v>6330</v>
      </c>
      <c r="M80">
        <v>36</v>
      </c>
      <c r="N80">
        <v>101</v>
      </c>
      <c r="O80" t="s">
        <v>32</v>
      </c>
      <c r="P80">
        <v>11</v>
      </c>
      <c r="Q80" t="s">
        <v>91</v>
      </c>
      <c r="R80" t="s">
        <v>105</v>
      </c>
      <c r="S80">
        <v>69</v>
      </c>
      <c r="T80" t="s">
        <v>35</v>
      </c>
      <c r="U80" t="s">
        <v>101</v>
      </c>
      <c r="V80">
        <v>12979</v>
      </c>
      <c r="W80">
        <v>77</v>
      </c>
      <c r="X80">
        <v>89</v>
      </c>
      <c r="Y80">
        <v>84</v>
      </c>
    </row>
    <row r="81" spans="1:25">
      <c r="A81">
        <v>80</v>
      </c>
      <c r="B81" t="s">
        <v>204</v>
      </c>
      <c r="C81">
        <v>8</v>
      </c>
      <c r="D81" t="s">
        <v>144</v>
      </c>
      <c r="E81" t="s">
        <v>49</v>
      </c>
      <c r="F81" t="s">
        <v>65</v>
      </c>
      <c r="G81" t="s">
        <v>141</v>
      </c>
      <c r="H81" t="s">
        <v>93</v>
      </c>
      <c r="I81">
        <v>24.79</v>
      </c>
      <c r="J81">
        <v>3.65</v>
      </c>
      <c r="K81" t="s">
        <v>121</v>
      </c>
      <c r="L81">
        <v>2544</v>
      </c>
      <c r="M81">
        <v>84</v>
      </c>
      <c r="N81">
        <v>137</v>
      </c>
      <c r="O81" t="s">
        <v>32</v>
      </c>
      <c r="P81">
        <v>4</v>
      </c>
      <c r="Q81" t="s">
        <v>134</v>
      </c>
      <c r="R81" t="s">
        <v>55</v>
      </c>
      <c r="S81">
        <v>0</v>
      </c>
      <c r="T81" t="s">
        <v>56</v>
      </c>
      <c r="U81" t="s">
        <v>138</v>
      </c>
      <c r="V81">
        <v>88061</v>
      </c>
      <c r="W81">
        <v>62</v>
      </c>
      <c r="X81">
        <v>98</v>
      </c>
      <c r="Y81">
        <v>34</v>
      </c>
    </row>
    <row r="82" spans="1:25">
      <c r="A82">
        <v>81</v>
      </c>
      <c r="B82" t="s">
        <v>205</v>
      </c>
      <c r="C82">
        <v>10</v>
      </c>
      <c r="D82" t="s">
        <v>26</v>
      </c>
      <c r="E82" t="s">
        <v>27</v>
      </c>
      <c r="F82" t="s">
        <v>28</v>
      </c>
      <c r="G82" t="s">
        <v>51</v>
      </c>
      <c r="H82" t="s">
        <v>30</v>
      </c>
      <c r="I82">
        <v>18.38</v>
      </c>
      <c r="J82">
        <v>16.64</v>
      </c>
      <c r="K82" t="s">
        <v>108</v>
      </c>
      <c r="L82">
        <v>9410</v>
      </c>
      <c r="M82">
        <v>33</v>
      </c>
      <c r="N82">
        <v>130</v>
      </c>
      <c r="O82" t="s">
        <v>32</v>
      </c>
      <c r="P82">
        <v>6</v>
      </c>
      <c r="Q82" t="s">
        <v>206</v>
      </c>
      <c r="R82" t="s">
        <v>34</v>
      </c>
      <c r="S82">
        <v>64</v>
      </c>
      <c r="T82" t="s">
        <v>46</v>
      </c>
      <c r="U82" t="s">
        <v>173</v>
      </c>
      <c r="V82">
        <v>84574</v>
      </c>
      <c r="W82">
        <v>98</v>
      </c>
      <c r="X82">
        <v>2</v>
      </c>
      <c r="Y82">
        <v>85</v>
      </c>
    </row>
    <row r="83" spans="1:25">
      <c r="A83">
        <v>82</v>
      </c>
      <c r="B83" t="s">
        <v>207</v>
      </c>
      <c r="C83">
        <v>17</v>
      </c>
      <c r="D83" t="s">
        <v>71</v>
      </c>
      <c r="E83" t="s">
        <v>38</v>
      </c>
      <c r="F83" t="s">
        <v>60</v>
      </c>
      <c r="G83" t="s">
        <v>126</v>
      </c>
      <c r="H83" t="s">
        <v>93</v>
      </c>
      <c r="I83">
        <v>22.94</v>
      </c>
      <c r="J83">
        <v>17.48</v>
      </c>
      <c r="K83" t="s">
        <v>73</v>
      </c>
      <c r="L83">
        <v>9603</v>
      </c>
      <c r="M83">
        <v>93</v>
      </c>
      <c r="N83">
        <v>157</v>
      </c>
      <c r="O83" t="s">
        <v>43</v>
      </c>
      <c r="P83">
        <v>0</v>
      </c>
      <c r="Q83" t="s">
        <v>91</v>
      </c>
      <c r="R83" t="s">
        <v>55</v>
      </c>
      <c r="S83">
        <v>37</v>
      </c>
      <c r="T83" t="s">
        <v>56</v>
      </c>
      <c r="U83" t="s">
        <v>138</v>
      </c>
      <c r="V83">
        <v>75323</v>
      </c>
      <c r="W83">
        <v>58</v>
      </c>
      <c r="X83">
        <v>94</v>
      </c>
      <c r="Y83">
        <v>76</v>
      </c>
    </row>
    <row r="84" spans="1:25">
      <c r="A84">
        <v>83</v>
      </c>
      <c r="B84" t="s">
        <v>208</v>
      </c>
      <c r="C84">
        <v>9</v>
      </c>
      <c r="D84" t="s">
        <v>71</v>
      </c>
      <c r="E84" t="s">
        <v>59</v>
      </c>
      <c r="F84" t="s">
        <v>39</v>
      </c>
      <c r="G84" t="s">
        <v>66</v>
      </c>
      <c r="H84" t="s">
        <v>93</v>
      </c>
      <c r="I84">
        <v>12</v>
      </c>
      <c r="J84">
        <v>24.44</v>
      </c>
      <c r="K84" t="s">
        <v>73</v>
      </c>
      <c r="L84">
        <v>13134</v>
      </c>
      <c r="M84">
        <v>83</v>
      </c>
      <c r="N84">
        <v>117</v>
      </c>
      <c r="O84" t="s">
        <v>97</v>
      </c>
      <c r="P84">
        <v>5</v>
      </c>
      <c r="Q84" t="s">
        <v>114</v>
      </c>
      <c r="R84" t="s">
        <v>105</v>
      </c>
      <c r="S84">
        <v>13</v>
      </c>
      <c r="T84" t="s">
        <v>56</v>
      </c>
      <c r="U84" t="s">
        <v>98</v>
      </c>
      <c r="V84">
        <v>88385</v>
      </c>
      <c r="W84">
        <v>73</v>
      </c>
      <c r="X84">
        <v>29</v>
      </c>
      <c r="Y84">
        <v>41</v>
      </c>
    </row>
    <row r="85" spans="1:25">
      <c r="A85">
        <v>84</v>
      </c>
      <c r="B85" t="s">
        <v>209</v>
      </c>
      <c r="C85">
        <v>3</v>
      </c>
      <c r="D85" t="s">
        <v>71</v>
      </c>
      <c r="E85" t="s">
        <v>38</v>
      </c>
      <c r="F85" t="s">
        <v>28</v>
      </c>
      <c r="G85" t="s">
        <v>61</v>
      </c>
      <c r="H85" t="s">
        <v>30</v>
      </c>
      <c r="I85">
        <v>36.82</v>
      </c>
      <c r="J85">
        <v>12.94</v>
      </c>
      <c r="K85" t="s">
        <v>161</v>
      </c>
      <c r="L85">
        <v>3668</v>
      </c>
      <c r="M85">
        <v>59</v>
      </c>
      <c r="N85">
        <v>103</v>
      </c>
      <c r="O85" t="s">
        <v>87</v>
      </c>
      <c r="P85">
        <v>11</v>
      </c>
      <c r="Q85" t="s">
        <v>54</v>
      </c>
      <c r="R85" t="s">
        <v>105</v>
      </c>
      <c r="S85">
        <v>24</v>
      </c>
      <c r="T85" t="s">
        <v>35</v>
      </c>
      <c r="U85" t="s">
        <v>210</v>
      </c>
      <c r="V85">
        <v>99242</v>
      </c>
      <c r="W85">
        <v>4</v>
      </c>
      <c r="X85">
        <v>59</v>
      </c>
      <c r="Y85">
        <v>54</v>
      </c>
    </row>
    <row r="86" spans="1:25">
      <c r="A86">
        <v>85</v>
      </c>
      <c r="B86" t="s">
        <v>107</v>
      </c>
      <c r="C86">
        <v>5</v>
      </c>
      <c r="D86" t="s">
        <v>26</v>
      </c>
      <c r="E86" t="s">
        <v>38</v>
      </c>
      <c r="F86" t="s">
        <v>77</v>
      </c>
      <c r="G86" t="s">
        <v>51</v>
      </c>
      <c r="H86" t="s">
        <v>104</v>
      </c>
      <c r="I86">
        <v>40.24</v>
      </c>
      <c r="J86">
        <v>4.01</v>
      </c>
      <c r="K86" t="s">
        <v>121</v>
      </c>
      <c r="L86">
        <v>14012</v>
      </c>
      <c r="M86">
        <v>117</v>
      </c>
      <c r="N86">
        <v>87</v>
      </c>
      <c r="O86" t="s">
        <v>97</v>
      </c>
      <c r="P86">
        <v>7</v>
      </c>
      <c r="Q86" t="s">
        <v>127</v>
      </c>
      <c r="R86" t="s">
        <v>105</v>
      </c>
      <c r="S86">
        <v>18</v>
      </c>
      <c r="T86" t="s">
        <v>35</v>
      </c>
      <c r="U86" t="s">
        <v>47</v>
      </c>
      <c r="V86">
        <v>36107</v>
      </c>
      <c r="W86">
        <v>6</v>
      </c>
      <c r="X86">
        <v>32</v>
      </c>
      <c r="Y86">
        <v>20</v>
      </c>
    </row>
    <row r="87" spans="1:25">
      <c r="A87">
        <v>86</v>
      </c>
      <c r="B87" t="s">
        <v>211</v>
      </c>
      <c r="C87">
        <v>12</v>
      </c>
      <c r="D87" t="s">
        <v>71</v>
      </c>
      <c r="E87" t="s">
        <v>59</v>
      </c>
      <c r="F87" t="s">
        <v>65</v>
      </c>
      <c r="G87" t="s">
        <v>29</v>
      </c>
      <c r="H87" t="s">
        <v>104</v>
      </c>
      <c r="I87">
        <v>18.43</v>
      </c>
      <c r="J87">
        <v>4.6900000000000004</v>
      </c>
      <c r="K87" t="s">
        <v>42</v>
      </c>
      <c r="L87">
        <v>5851</v>
      </c>
      <c r="M87">
        <v>69</v>
      </c>
      <c r="N87">
        <v>133</v>
      </c>
      <c r="O87" t="s">
        <v>43</v>
      </c>
      <c r="P87">
        <v>6</v>
      </c>
      <c r="Q87" t="s">
        <v>62</v>
      </c>
      <c r="R87" t="s">
        <v>55</v>
      </c>
      <c r="S87">
        <v>21</v>
      </c>
      <c r="T87" t="s">
        <v>56</v>
      </c>
      <c r="U87" t="s">
        <v>155</v>
      </c>
      <c r="V87">
        <v>4276</v>
      </c>
      <c r="W87">
        <v>57</v>
      </c>
      <c r="X87">
        <v>66</v>
      </c>
      <c r="Y87">
        <v>8</v>
      </c>
    </row>
    <row r="88" spans="1:25">
      <c r="A88">
        <v>87</v>
      </c>
      <c r="B88" t="s">
        <v>212</v>
      </c>
      <c r="C88">
        <v>3</v>
      </c>
      <c r="D88" t="s">
        <v>26</v>
      </c>
      <c r="E88" t="s">
        <v>38</v>
      </c>
      <c r="F88" t="s">
        <v>39</v>
      </c>
      <c r="G88" t="s">
        <v>141</v>
      </c>
      <c r="H88" t="s">
        <v>104</v>
      </c>
      <c r="I88">
        <v>44.62</v>
      </c>
      <c r="J88">
        <v>2.2799999999999998</v>
      </c>
      <c r="K88" t="s">
        <v>213</v>
      </c>
      <c r="L88">
        <v>14902</v>
      </c>
      <c r="M88">
        <v>25</v>
      </c>
      <c r="N88">
        <v>110</v>
      </c>
      <c r="O88" t="s">
        <v>87</v>
      </c>
      <c r="P88">
        <v>12</v>
      </c>
      <c r="Q88" t="s">
        <v>137</v>
      </c>
      <c r="R88" t="s">
        <v>34</v>
      </c>
      <c r="S88">
        <v>31</v>
      </c>
      <c r="T88" t="s">
        <v>35</v>
      </c>
      <c r="U88" t="s">
        <v>57</v>
      </c>
      <c r="V88">
        <v>88223</v>
      </c>
      <c r="W88">
        <v>95</v>
      </c>
      <c r="X88">
        <v>89</v>
      </c>
      <c r="Y88">
        <v>72</v>
      </c>
    </row>
    <row r="89" spans="1:25">
      <c r="A89">
        <v>88</v>
      </c>
      <c r="B89" t="s">
        <v>214</v>
      </c>
      <c r="C89">
        <v>12</v>
      </c>
      <c r="D89" t="s">
        <v>26</v>
      </c>
      <c r="E89" t="s">
        <v>49</v>
      </c>
      <c r="F89" t="s">
        <v>28</v>
      </c>
      <c r="G89" t="s">
        <v>40</v>
      </c>
      <c r="H89" t="s">
        <v>93</v>
      </c>
      <c r="I89">
        <v>11.93</v>
      </c>
      <c r="J89">
        <v>23.03</v>
      </c>
      <c r="K89" t="s">
        <v>31</v>
      </c>
      <c r="L89">
        <v>6882</v>
      </c>
      <c r="M89">
        <v>97</v>
      </c>
      <c r="N89">
        <v>105</v>
      </c>
      <c r="O89" t="s">
        <v>43</v>
      </c>
      <c r="P89">
        <v>9</v>
      </c>
      <c r="Q89" t="s">
        <v>82</v>
      </c>
      <c r="R89" t="s">
        <v>45</v>
      </c>
      <c r="S89">
        <v>57</v>
      </c>
      <c r="T89" t="s">
        <v>35</v>
      </c>
      <c r="U89" t="s">
        <v>179</v>
      </c>
      <c r="V89">
        <v>89096</v>
      </c>
      <c r="W89">
        <v>29</v>
      </c>
      <c r="X89">
        <v>18</v>
      </c>
      <c r="Y89">
        <v>11</v>
      </c>
    </row>
    <row r="90" spans="1:25">
      <c r="A90">
        <v>89</v>
      </c>
      <c r="B90" t="s">
        <v>215</v>
      </c>
      <c r="C90">
        <v>10</v>
      </c>
      <c r="D90" t="s">
        <v>26</v>
      </c>
      <c r="E90" t="s">
        <v>49</v>
      </c>
      <c r="F90" t="s">
        <v>85</v>
      </c>
      <c r="G90" t="s">
        <v>66</v>
      </c>
      <c r="H90" t="s">
        <v>104</v>
      </c>
      <c r="I90">
        <v>37.93</v>
      </c>
      <c r="J90">
        <v>18.600000000000001</v>
      </c>
      <c r="K90" t="s">
        <v>152</v>
      </c>
      <c r="L90">
        <v>5373</v>
      </c>
      <c r="M90">
        <v>40</v>
      </c>
      <c r="N90">
        <v>76</v>
      </c>
      <c r="O90" t="s">
        <v>87</v>
      </c>
      <c r="P90">
        <v>3</v>
      </c>
      <c r="Q90" t="s">
        <v>91</v>
      </c>
      <c r="R90" t="s">
        <v>105</v>
      </c>
      <c r="S90">
        <v>7</v>
      </c>
      <c r="T90" t="s">
        <v>35</v>
      </c>
      <c r="U90" t="s">
        <v>117</v>
      </c>
      <c r="V90">
        <v>38619</v>
      </c>
      <c r="W90">
        <v>22</v>
      </c>
      <c r="X90">
        <v>93</v>
      </c>
      <c r="Y90">
        <v>88</v>
      </c>
    </row>
    <row r="91" spans="1:25">
      <c r="A91">
        <v>90</v>
      </c>
      <c r="B91" t="s">
        <v>216</v>
      </c>
      <c r="C91">
        <v>3</v>
      </c>
      <c r="D91" t="s">
        <v>71</v>
      </c>
      <c r="E91" t="s">
        <v>59</v>
      </c>
      <c r="F91" t="s">
        <v>39</v>
      </c>
      <c r="G91" t="s">
        <v>51</v>
      </c>
      <c r="H91" t="s">
        <v>30</v>
      </c>
      <c r="I91">
        <v>14.02</v>
      </c>
      <c r="J91">
        <v>3.1</v>
      </c>
      <c r="K91" t="s">
        <v>73</v>
      </c>
      <c r="L91">
        <v>11778</v>
      </c>
      <c r="M91">
        <v>43</v>
      </c>
      <c r="N91">
        <v>118</v>
      </c>
      <c r="O91" t="s">
        <v>43</v>
      </c>
      <c r="P91">
        <v>5</v>
      </c>
      <c r="Q91" t="s">
        <v>127</v>
      </c>
      <c r="R91" t="s">
        <v>55</v>
      </c>
      <c r="S91">
        <v>2</v>
      </c>
      <c r="T91" t="s">
        <v>46</v>
      </c>
      <c r="U91" t="s">
        <v>69</v>
      </c>
      <c r="V91">
        <v>86159</v>
      </c>
      <c r="W91">
        <v>26</v>
      </c>
      <c r="X91">
        <v>26</v>
      </c>
      <c r="Y91">
        <v>19</v>
      </c>
    </row>
    <row r="92" spans="1:25">
      <c r="A92">
        <v>91</v>
      </c>
      <c r="B92" t="s">
        <v>217</v>
      </c>
      <c r="C92">
        <v>3</v>
      </c>
      <c r="D92" t="s">
        <v>26</v>
      </c>
      <c r="E92" t="s">
        <v>49</v>
      </c>
      <c r="F92" t="s">
        <v>60</v>
      </c>
      <c r="G92" t="s">
        <v>145</v>
      </c>
      <c r="H92" t="s">
        <v>93</v>
      </c>
      <c r="I92">
        <v>28.2</v>
      </c>
      <c r="J92">
        <v>14.01</v>
      </c>
      <c r="K92" t="s">
        <v>31</v>
      </c>
      <c r="L92">
        <v>14094</v>
      </c>
      <c r="M92">
        <v>106</v>
      </c>
      <c r="N92">
        <v>100</v>
      </c>
      <c r="O92" t="s">
        <v>97</v>
      </c>
      <c r="P92">
        <v>9</v>
      </c>
      <c r="Q92" t="s">
        <v>206</v>
      </c>
      <c r="R92" t="s">
        <v>34</v>
      </c>
      <c r="S92">
        <v>31</v>
      </c>
      <c r="T92" t="s">
        <v>46</v>
      </c>
      <c r="U92" t="s">
        <v>158</v>
      </c>
      <c r="V92">
        <v>4255</v>
      </c>
      <c r="W92">
        <v>29</v>
      </c>
      <c r="X92">
        <v>89</v>
      </c>
      <c r="Y92">
        <v>15</v>
      </c>
    </row>
    <row r="93" spans="1:25">
      <c r="A93">
        <v>92</v>
      </c>
      <c r="B93" t="s">
        <v>131</v>
      </c>
      <c r="C93">
        <v>5</v>
      </c>
      <c r="D93" t="s">
        <v>26</v>
      </c>
      <c r="E93" t="s">
        <v>27</v>
      </c>
      <c r="F93" t="s">
        <v>28</v>
      </c>
      <c r="G93" t="s">
        <v>40</v>
      </c>
      <c r="H93" t="s">
        <v>41</v>
      </c>
      <c r="I93">
        <v>39.57</v>
      </c>
      <c r="J93">
        <v>8</v>
      </c>
      <c r="K93" t="s">
        <v>31</v>
      </c>
      <c r="L93">
        <v>12237</v>
      </c>
      <c r="M93">
        <v>76</v>
      </c>
      <c r="N93">
        <v>123</v>
      </c>
      <c r="O93" t="s">
        <v>53</v>
      </c>
      <c r="P93">
        <v>8</v>
      </c>
      <c r="Q93" t="s">
        <v>95</v>
      </c>
      <c r="R93" t="s">
        <v>55</v>
      </c>
      <c r="S93">
        <v>82</v>
      </c>
      <c r="T93" t="s">
        <v>46</v>
      </c>
      <c r="U93" t="s">
        <v>138</v>
      </c>
      <c r="V93">
        <v>94632</v>
      </c>
      <c r="W93">
        <v>90</v>
      </c>
      <c r="X93">
        <v>72</v>
      </c>
      <c r="Y93">
        <v>6</v>
      </c>
    </row>
    <row r="94" spans="1:25">
      <c r="A94">
        <v>93</v>
      </c>
      <c r="B94" t="s">
        <v>218</v>
      </c>
      <c r="C94">
        <v>11</v>
      </c>
      <c r="D94" t="s">
        <v>26</v>
      </c>
      <c r="E94" t="s">
        <v>49</v>
      </c>
      <c r="F94" t="s">
        <v>65</v>
      </c>
      <c r="G94" t="s">
        <v>145</v>
      </c>
      <c r="H94" t="s">
        <v>41</v>
      </c>
      <c r="I94">
        <v>33.15</v>
      </c>
      <c r="J94">
        <v>6.74</v>
      </c>
      <c r="K94" t="s">
        <v>31</v>
      </c>
      <c r="L94">
        <v>14334</v>
      </c>
      <c r="M94">
        <v>64</v>
      </c>
      <c r="N94">
        <v>112</v>
      </c>
      <c r="O94" t="s">
        <v>87</v>
      </c>
      <c r="P94">
        <v>5</v>
      </c>
      <c r="Q94" t="s">
        <v>127</v>
      </c>
      <c r="R94" t="s">
        <v>45</v>
      </c>
      <c r="S94">
        <v>77</v>
      </c>
      <c r="T94" t="s">
        <v>56</v>
      </c>
      <c r="U94" t="s">
        <v>89</v>
      </c>
      <c r="V94">
        <v>1996</v>
      </c>
      <c r="W94">
        <v>55</v>
      </c>
      <c r="X94">
        <v>57</v>
      </c>
      <c r="Y94">
        <v>67</v>
      </c>
    </row>
    <row r="95" spans="1:25">
      <c r="A95">
        <v>94</v>
      </c>
      <c r="B95" t="s">
        <v>219</v>
      </c>
      <c r="C95">
        <v>18</v>
      </c>
      <c r="D95" t="s">
        <v>71</v>
      </c>
      <c r="E95" t="s">
        <v>49</v>
      </c>
      <c r="F95" t="s">
        <v>77</v>
      </c>
      <c r="G95" t="s">
        <v>86</v>
      </c>
      <c r="H95" t="s">
        <v>104</v>
      </c>
      <c r="I95">
        <v>11.56</v>
      </c>
      <c r="J95">
        <v>1.84</v>
      </c>
      <c r="K95" t="s">
        <v>31</v>
      </c>
      <c r="L95">
        <v>3980</v>
      </c>
      <c r="M95">
        <v>81</v>
      </c>
      <c r="N95">
        <v>78</v>
      </c>
      <c r="O95" t="s">
        <v>97</v>
      </c>
      <c r="P95">
        <v>7</v>
      </c>
      <c r="Q95" t="s">
        <v>44</v>
      </c>
      <c r="R95" t="s">
        <v>105</v>
      </c>
      <c r="S95">
        <v>11</v>
      </c>
      <c r="T95" t="s">
        <v>56</v>
      </c>
      <c r="U95" t="s">
        <v>47</v>
      </c>
      <c r="V95">
        <v>38743</v>
      </c>
      <c r="W95">
        <v>56</v>
      </c>
      <c r="X95">
        <v>95</v>
      </c>
      <c r="Y95">
        <v>79</v>
      </c>
    </row>
    <row r="96" spans="1:25">
      <c r="A96">
        <v>95</v>
      </c>
      <c r="B96" t="s">
        <v>220</v>
      </c>
      <c r="C96">
        <v>3</v>
      </c>
      <c r="D96" t="s">
        <v>71</v>
      </c>
      <c r="E96" t="s">
        <v>27</v>
      </c>
      <c r="F96" t="s">
        <v>39</v>
      </c>
      <c r="G96" t="s">
        <v>141</v>
      </c>
      <c r="H96" t="s">
        <v>30</v>
      </c>
      <c r="I96">
        <v>29.86</v>
      </c>
      <c r="J96">
        <v>11.83</v>
      </c>
      <c r="K96" t="s">
        <v>108</v>
      </c>
      <c r="L96">
        <v>6777</v>
      </c>
      <c r="M96">
        <v>91</v>
      </c>
      <c r="N96">
        <v>134</v>
      </c>
      <c r="O96" t="s">
        <v>32</v>
      </c>
      <c r="P96">
        <v>6</v>
      </c>
      <c r="Q96" t="s">
        <v>134</v>
      </c>
      <c r="R96" t="s">
        <v>105</v>
      </c>
      <c r="S96">
        <v>48</v>
      </c>
      <c r="T96" t="s">
        <v>35</v>
      </c>
      <c r="U96" t="s">
        <v>106</v>
      </c>
      <c r="V96">
        <v>21345</v>
      </c>
      <c r="W96">
        <v>42</v>
      </c>
      <c r="X96">
        <v>51</v>
      </c>
      <c r="Y96">
        <v>94</v>
      </c>
    </row>
    <row r="97" spans="1:25">
      <c r="A97">
        <v>96</v>
      </c>
      <c r="B97" t="s">
        <v>221</v>
      </c>
      <c r="C97">
        <v>16</v>
      </c>
      <c r="D97" t="s">
        <v>71</v>
      </c>
      <c r="E97" t="s">
        <v>49</v>
      </c>
      <c r="F97" t="s">
        <v>28</v>
      </c>
      <c r="G97" t="s">
        <v>126</v>
      </c>
      <c r="H97" t="s">
        <v>93</v>
      </c>
      <c r="I97">
        <v>6.69</v>
      </c>
      <c r="J97">
        <v>5.01</v>
      </c>
      <c r="K97" t="s">
        <v>94</v>
      </c>
      <c r="L97">
        <v>12867</v>
      </c>
      <c r="M97">
        <v>51</v>
      </c>
      <c r="N97">
        <v>71</v>
      </c>
      <c r="O97" t="s">
        <v>53</v>
      </c>
      <c r="P97">
        <v>8</v>
      </c>
      <c r="Q97" t="s">
        <v>62</v>
      </c>
      <c r="R97" t="s">
        <v>55</v>
      </c>
      <c r="S97">
        <v>48</v>
      </c>
      <c r="T97" t="s">
        <v>56</v>
      </c>
      <c r="U97" t="s">
        <v>148</v>
      </c>
      <c r="V97">
        <v>16086</v>
      </c>
      <c r="W97">
        <v>97</v>
      </c>
      <c r="X97">
        <v>98</v>
      </c>
      <c r="Y97">
        <v>11</v>
      </c>
    </row>
    <row r="98" spans="1:25">
      <c r="A98">
        <v>97</v>
      </c>
      <c r="B98" t="s">
        <v>222</v>
      </c>
      <c r="C98">
        <v>9</v>
      </c>
      <c r="D98" t="s">
        <v>26</v>
      </c>
      <c r="E98" t="s">
        <v>38</v>
      </c>
      <c r="F98" t="s">
        <v>65</v>
      </c>
      <c r="G98" t="s">
        <v>61</v>
      </c>
      <c r="H98" t="s">
        <v>93</v>
      </c>
      <c r="I98">
        <v>15.44</v>
      </c>
      <c r="J98">
        <v>10.9</v>
      </c>
      <c r="K98" t="s">
        <v>121</v>
      </c>
      <c r="L98">
        <v>9197</v>
      </c>
      <c r="M98">
        <v>59</v>
      </c>
      <c r="N98">
        <v>86</v>
      </c>
      <c r="O98" t="s">
        <v>32</v>
      </c>
      <c r="P98">
        <v>8</v>
      </c>
      <c r="Q98" t="s">
        <v>44</v>
      </c>
      <c r="R98" t="s">
        <v>55</v>
      </c>
      <c r="S98">
        <v>30</v>
      </c>
      <c r="T98" t="s">
        <v>35</v>
      </c>
      <c r="U98" t="s">
        <v>98</v>
      </c>
      <c r="V98">
        <v>69453</v>
      </c>
      <c r="W98">
        <v>27</v>
      </c>
      <c r="X98">
        <v>1</v>
      </c>
      <c r="Y98">
        <v>40</v>
      </c>
    </row>
    <row r="99" spans="1:25">
      <c r="A99">
        <v>98</v>
      </c>
      <c r="B99" t="s">
        <v>223</v>
      </c>
      <c r="C99">
        <v>17</v>
      </c>
      <c r="D99" t="s">
        <v>71</v>
      </c>
      <c r="E99" t="s">
        <v>59</v>
      </c>
      <c r="F99" t="s">
        <v>39</v>
      </c>
      <c r="G99" t="s">
        <v>61</v>
      </c>
      <c r="H99" t="s">
        <v>67</v>
      </c>
      <c r="I99">
        <v>21.32</v>
      </c>
      <c r="J99">
        <v>8.2200000000000006</v>
      </c>
      <c r="K99" t="s">
        <v>73</v>
      </c>
      <c r="L99">
        <v>1103</v>
      </c>
      <c r="M99">
        <v>38</v>
      </c>
      <c r="N99">
        <v>149</v>
      </c>
      <c r="O99" t="s">
        <v>53</v>
      </c>
      <c r="P99">
        <v>3</v>
      </c>
      <c r="Q99" t="s">
        <v>82</v>
      </c>
      <c r="R99" t="s">
        <v>45</v>
      </c>
      <c r="S99">
        <v>32</v>
      </c>
      <c r="T99" t="s">
        <v>46</v>
      </c>
      <c r="U99" t="s">
        <v>224</v>
      </c>
      <c r="V99">
        <v>71073</v>
      </c>
      <c r="W99">
        <v>87</v>
      </c>
      <c r="X99">
        <v>48</v>
      </c>
      <c r="Y99">
        <v>71</v>
      </c>
    </row>
    <row r="100" spans="1:25">
      <c r="A100">
        <v>99</v>
      </c>
      <c r="B100" t="s">
        <v>225</v>
      </c>
      <c r="C100">
        <v>18</v>
      </c>
      <c r="D100" t="s">
        <v>71</v>
      </c>
      <c r="E100" t="s">
        <v>59</v>
      </c>
      <c r="F100" t="s">
        <v>28</v>
      </c>
      <c r="G100" t="s">
        <v>80</v>
      </c>
      <c r="H100" t="s">
        <v>30</v>
      </c>
      <c r="I100">
        <v>31.74</v>
      </c>
      <c r="J100">
        <v>4.8499999999999996</v>
      </c>
      <c r="K100" t="s">
        <v>42</v>
      </c>
      <c r="L100">
        <v>12513</v>
      </c>
      <c r="M100">
        <v>81</v>
      </c>
      <c r="N100">
        <v>151</v>
      </c>
      <c r="O100" t="s">
        <v>97</v>
      </c>
      <c r="P100">
        <v>6</v>
      </c>
      <c r="Q100" t="s">
        <v>82</v>
      </c>
      <c r="R100" t="s">
        <v>45</v>
      </c>
      <c r="S100">
        <v>96</v>
      </c>
      <c r="T100" t="s">
        <v>35</v>
      </c>
      <c r="U100" t="s">
        <v>75</v>
      </c>
      <c r="V100">
        <v>58923</v>
      </c>
      <c r="W100">
        <v>92</v>
      </c>
      <c r="X100">
        <v>95</v>
      </c>
      <c r="Y100">
        <v>45</v>
      </c>
    </row>
    <row r="101" spans="1:25">
      <c r="F101" t="s">
        <v>226</v>
      </c>
    </row>
    <row r="102" spans="1:25">
      <c r="F102" t="s">
        <v>226</v>
      </c>
    </row>
    <row r="103" spans="1:25">
      <c r="F103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21F5-7550-4515-81DA-4DB1EC35D927}">
  <dimension ref="A1:Z100"/>
  <sheetViews>
    <sheetView workbookViewId="0">
      <selection activeCell="Z2" sqref="Z2"/>
    </sheetView>
  </sheetViews>
  <sheetFormatPr defaultRowHeight="15"/>
  <cols>
    <col min="1" max="1" width="5.140625" bestFit="1" customWidth="1"/>
    <col min="2" max="2" width="13.140625" bestFit="1" customWidth="1"/>
    <col min="3" max="3" width="6.5703125" bestFit="1" customWidth="1"/>
    <col min="4" max="4" width="15" bestFit="1" customWidth="1"/>
    <col min="5" max="5" width="20.85546875" bestFit="1" customWidth="1"/>
    <col min="6" max="6" width="16.140625" bestFit="1" customWidth="1"/>
    <col min="7" max="7" width="18.42578125" bestFit="1" customWidth="1"/>
    <col min="8" max="8" width="16.85546875" bestFit="1" customWidth="1"/>
    <col min="9" max="9" width="18.28515625" bestFit="1" customWidth="1"/>
    <col min="10" max="10" width="19.140625" bestFit="1" customWidth="1"/>
    <col min="11" max="11" width="17" bestFit="1" customWidth="1"/>
    <col min="12" max="12" width="17.7109375" bestFit="1" customWidth="1"/>
    <col min="13" max="13" width="12.7109375" bestFit="1" customWidth="1"/>
    <col min="14" max="14" width="15.140625" bestFit="1" customWidth="1"/>
    <col min="15" max="15" width="16.42578125" bestFit="1" customWidth="1"/>
    <col min="16" max="16" width="16.140625" bestFit="1" customWidth="1"/>
    <col min="17" max="17" width="21.85546875" bestFit="1" customWidth="1"/>
    <col min="18" max="18" width="17.7109375" bestFit="1" customWidth="1"/>
    <col min="19" max="19" width="14.7109375" bestFit="1" customWidth="1"/>
    <col min="20" max="20" width="18" bestFit="1" customWidth="1"/>
    <col min="21" max="21" width="22.85546875" bestFit="1" customWidth="1"/>
    <col min="22" max="22" width="16.5703125" bestFit="1" customWidth="1"/>
    <col min="23" max="23" width="8.7109375" bestFit="1" customWidth="1"/>
    <col min="24" max="24" width="13.42578125" bestFit="1" customWidth="1"/>
    <col min="25" max="25" width="14.28515625" bestFit="1" customWidth="1"/>
    <col min="26" max="26" width="15.8554687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227</v>
      </c>
      <c r="S1" t="s">
        <v>18</v>
      </c>
      <c r="T1" t="s">
        <v>19</v>
      </c>
      <c r="U1" t="s">
        <v>20</v>
      </c>
      <c r="V1" t="s">
        <v>21</v>
      </c>
      <c r="W1" t="s">
        <v>228</v>
      </c>
      <c r="X1" t="s">
        <v>229</v>
      </c>
      <c r="Y1" t="s">
        <v>230</v>
      </c>
      <c r="Z1" t="s">
        <v>231</v>
      </c>
    </row>
    <row r="2" spans="1:26">
      <c r="A2">
        <v>1</v>
      </c>
      <c r="B2" t="s">
        <v>25</v>
      </c>
      <c r="C2">
        <v>11</v>
      </c>
      <c r="D2" t="s">
        <v>232</v>
      </c>
      <c r="E2" t="s">
        <v>233</v>
      </c>
      <c r="F2" t="s">
        <v>234</v>
      </c>
      <c r="G2" t="s">
        <v>29</v>
      </c>
      <c r="H2" t="s">
        <v>30</v>
      </c>
      <c r="I2">
        <v>7.2</v>
      </c>
      <c r="J2">
        <v>7.0000000000000007E-2</v>
      </c>
      <c r="K2" t="s">
        <v>235</v>
      </c>
      <c r="L2">
        <v>11000</v>
      </c>
      <c r="M2">
        <v>77</v>
      </c>
      <c r="N2">
        <v>127</v>
      </c>
      <c r="O2" t="s">
        <v>32</v>
      </c>
      <c r="P2">
        <v>8</v>
      </c>
      <c r="Q2" t="s">
        <v>236</v>
      </c>
      <c r="R2" t="s">
        <v>34</v>
      </c>
      <c r="S2">
        <v>31</v>
      </c>
      <c r="T2" t="s">
        <v>237</v>
      </c>
      <c r="U2" t="s">
        <v>36</v>
      </c>
      <c r="V2">
        <v>27733</v>
      </c>
      <c r="W2">
        <v>62</v>
      </c>
      <c r="X2">
        <v>55</v>
      </c>
      <c r="Y2">
        <v>85</v>
      </c>
      <c r="Z2">
        <f>VLOOKUP(Table1[[#This Row],[current_mood]],lookup_tables!$A$2:$B$6,2,FALSE)</f>
        <v>30</v>
      </c>
    </row>
    <row r="3" spans="1:26">
      <c r="A3">
        <v>2</v>
      </c>
      <c r="B3" t="s">
        <v>37</v>
      </c>
      <c r="C3">
        <v>5</v>
      </c>
      <c r="D3" t="s">
        <v>232</v>
      </c>
      <c r="E3" t="s">
        <v>238</v>
      </c>
      <c r="F3" t="s">
        <v>239</v>
      </c>
      <c r="G3" t="s">
        <v>40</v>
      </c>
      <c r="H3" t="s">
        <v>41</v>
      </c>
      <c r="I3">
        <v>31.48</v>
      </c>
      <c r="J3">
        <v>14.33</v>
      </c>
      <c r="K3" t="s">
        <v>240</v>
      </c>
      <c r="L3">
        <v>6344</v>
      </c>
      <c r="M3">
        <v>62</v>
      </c>
      <c r="N3">
        <v>101</v>
      </c>
      <c r="O3" t="s">
        <v>43</v>
      </c>
      <c r="P3">
        <v>9</v>
      </c>
      <c r="Q3" t="s">
        <v>241</v>
      </c>
      <c r="R3" t="s">
        <v>45</v>
      </c>
      <c r="S3">
        <v>53</v>
      </c>
      <c r="T3" t="s">
        <v>242</v>
      </c>
      <c r="U3" t="s">
        <v>47</v>
      </c>
      <c r="V3">
        <v>94385</v>
      </c>
      <c r="W3">
        <v>59</v>
      </c>
      <c r="X3">
        <v>63</v>
      </c>
      <c r="Y3">
        <v>1</v>
      </c>
      <c r="Z3">
        <f>VLOOKUP(Table1[[#This Row],[current_mood]],lookup_tables!$A$2:$B$6,2,FALSE)</f>
        <v>45</v>
      </c>
    </row>
    <row r="4" spans="1:26">
      <c r="A4">
        <v>3</v>
      </c>
      <c r="B4" t="s">
        <v>48</v>
      </c>
      <c r="C4">
        <v>14</v>
      </c>
      <c r="D4" t="s">
        <v>232</v>
      </c>
      <c r="E4" t="s">
        <v>243</v>
      </c>
      <c r="F4" t="s">
        <v>244</v>
      </c>
      <c r="G4" t="s">
        <v>51</v>
      </c>
      <c r="H4" t="s">
        <v>30</v>
      </c>
      <c r="I4">
        <v>15.96</v>
      </c>
      <c r="J4">
        <v>13.37</v>
      </c>
      <c r="K4" t="s">
        <v>245</v>
      </c>
      <c r="L4">
        <v>633</v>
      </c>
      <c r="M4">
        <v>72</v>
      </c>
      <c r="N4">
        <v>140</v>
      </c>
      <c r="O4" t="s">
        <v>53</v>
      </c>
      <c r="P4">
        <v>11</v>
      </c>
      <c r="Q4" t="s">
        <v>246</v>
      </c>
      <c r="R4" t="s">
        <v>55</v>
      </c>
      <c r="S4">
        <v>44</v>
      </c>
      <c r="T4" t="s">
        <v>247</v>
      </c>
      <c r="U4" t="s">
        <v>57</v>
      </c>
      <c r="V4">
        <v>35434</v>
      </c>
      <c r="W4">
        <v>41</v>
      </c>
      <c r="X4">
        <v>16</v>
      </c>
      <c r="Y4">
        <v>17</v>
      </c>
      <c r="Z4">
        <f>VLOOKUP(Table1[[#This Row],[current_mood]],lookup_tables!$A$2:$B$6,2,FALSE)</f>
        <v>70</v>
      </c>
    </row>
    <row r="5" spans="1:26">
      <c r="A5">
        <v>4</v>
      </c>
      <c r="B5" t="s">
        <v>58</v>
      </c>
      <c r="C5">
        <v>10</v>
      </c>
      <c r="D5" t="s">
        <v>232</v>
      </c>
      <c r="E5" t="s">
        <v>248</v>
      </c>
      <c r="F5" t="s">
        <v>249</v>
      </c>
      <c r="G5" t="s">
        <v>61</v>
      </c>
      <c r="H5" t="s">
        <v>41</v>
      </c>
      <c r="I5">
        <v>22.81</v>
      </c>
      <c r="J5">
        <v>2.5299999999999998</v>
      </c>
      <c r="K5" t="s">
        <v>240</v>
      </c>
      <c r="L5">
        <v>1213</v>
      </c>
      <c r="M5">
        <v>73</v>
      </c>
      <c r="N5">
        <v>79</v>
      </c>
      <c r="O5" t="s">
        <v>43</v>
      </c>
      <c r="P5">
        <v>6</v>
      </c>
      <c r="Q5" t="s">
        <v>250</v>
      </c>
      <c r="R5" t="s">
        <v>55</v>
      </c>
      <c r="S5">
        <v>13</v>
      </c>
      <c r="T5" t="s">
        <v>247</v>
      </c>
      <c r="U5" t="s">
        <v>63</v>
      </c>
      <c r="V5">
        <v>22975</v>
      </c>
      <c r="W5">
        <v>20</v>
      </c>
      <c r="X5">
        <v>52</v>
      </c>
      <c r="Y5">
        <v>31</v>
      </c>
      <c r="Z5">
        <f>VLOOKUP(Table1[[#This Row],[current_mood]],lookup_tables!$A$2:$B$6,2,FALSE)</f>
        <v>45</v>
      </c>
    </row>
    <row r="6" spans="1:26">
      <c r="A6">
        <v>5</v>
      </c>
      <c r="B6" t="s">
        <v>64</v>
      </c>
      <c r="C6">
        <v>18</v>
      </c>
      <c r="D6" t="s">
        <v>232</v>
      </c>
      <c r="E6" t="s">
        <v>243</v>
      </c>
      <c r="F6" t="s">
        <v>251</v>
      </c>
      <c r="G6" t="s">
        <v>66</v>
      </c>
      <c r="H6" t="s">
        <v>67</v>
      </c>
      <c r="I6">
        <v>41.17</v>
      </c>
      <c r="J6">
        <v>3.9</v>
      </c>
      <c r="K6" t="s">
        <v>240</v>
      </c>
      <c r="L6">
        <v>7753</v>
      </c>
      <c r="M6">
        <v>75</v>
      </c>
      <c r="N6">
        <v>89</v>
      </c>
      <c r="O6" t="s">
        <v>32</v>
      </c>
      <c r="P6">
        <v>12</v>
      </c>
      <c r="Q6" t="s">
        <v>252</v>
      </c>
      <c r="R6" t="s">
        <v>34</v>
      </c>
      <c r="S6">
        <v>12</v>
      </c>
      <c r="T6" t="s">
        <v>247</v>
      </c>
      <c r="U6" t="s">
        <v>69</v>
      </c>
      <c r="V6">
        <v>8905</v>
      </c>
      <c r="W6">
        <v>42</v>
      </c>
      <c r="X6">
        <v>2</v>
      </c>
      <c r="Y6">
        <v>59</v>
      </c>
      <c r="Z6">
        <f>VLOOKUP(Table1[[#This Row],[current_mood]],lookup_tables!$A$2:$B$6,2,FALSE)</f>
        <v>30</v>
      </c>
    </row>
    <row r="7" spans="1:26">
      <c r="A7">
        <v>6</v>
      </c>
      <c r="B7" t="s">
        <v>70</v>
      </c>
      <c r="C7">
        <v>12</v>
      </c>
      <c r="D7" t="s">
        <v>253</v>
      </c>
      <c r="E7" t="s">
        <v>243</v>
      </c>
      <c r="F7" t="s">
        <v>234</v>
      </c>
      <c r="G7" t="s">
        <v>72</v>
      </c>
      <c r="H7" t="s">
        <v>30</v>
      </c>
      <c r="I7">
        <v>22.12</v>
      </c>
      <c r="J7">
        <v>11.57</v>
      </c>
      <c r="K7" t="s">
        <v>254</v>
      </c>
      <c r="L7">
        <v>7301</v>
      </c>
      <c r="M7">
        <v>65</v>
      </c>
      <c r="N7">
        <v>65</v>
      </c>
      <c r="O7" t="s">
        <v>32</v>
      </c>
      <c r="P7">
        <v>0</v>
      </c>
      <c r="Q7" t="s">
        <v>255</v>
      </c>
      <c r="R7" t="s">
        <v>55</v>
      </c>
      <c r="S7">
        <v>12</v>
      </c>
      <c r="T7" t="s">
        <v>242</v>
      </c>
      <c r="U7" t="s">
        <v>75</v>
      </c>
      <c r="V7">
        <v>6350</v>
      </c>
      <c r="W7">
        <v>6</v>
      </c>
      <c r="X7">
        <v>93</v>
      </c>
      <c r="Y7">
        <v>50</v>
      </c>
      <c r="Z7">
        <f>VLOOKUP(Table1[[#This Row],[current_mood]],lookup_tables!$A$2:$B$6,2,FALSE)</f>
        <v>30</v>
      </c>
    </row>
    <row r="8" spans="1:26">
      <c r="A8">
        <v>7</v>
      </c>
      <c r="B8" t="s">
        <v>76</v>
      </c>
      <c r="C8">
        <v>2</v>
      </c>
      <c r="D8" t="s">
        <v>232</v>
      </c>
      <c r="E8" t="s">
        <v>238</v>
      </c>
      <c r="F8" t="s">
        <v>256</v>
      </c>
      <c r="G8" t="s">
        <v>51</v>
      </c>
      <c r="H8" t="s">
        <v>67</v>
      </c>
      <c r="I8">
        <v>34.65</v>
      </c>
      <c r="J8">
        <v>23.22</v>
      </c>
      <c r="K8" t="s">
        <v>235</v>
      </c>
      <c r="L8">
        <v>1391</v>
      </c>
      <c r="M8">
        <v>103</v>
      </c>
      <c r="N8">
        <v>67</v>
      </c>
      <c r="O8" t="s">
        <v>53</v>
      </c>
      <c r="P8">
        <v>12</v>
      </c>
      <c r="Q8" t="s">
        <v>257</v>
      </c>
      <c r="R8" t="s">
        <v>55</v>
      </c>
      <c r="S8">
        <v>71</v>
      </c>
      <c r="T8" t="s">
        <v>247</v>
      </c>
      <c r="U8" t="s">
        <v>47</v>
      </c>
      <c r="V8">
        <v>87306</v>
      </c>
      <c r="W8">
        <v>69</v>
      </c>
      <c r="X8">
        <v>69</v>
      </c>
      <c r="Y8">
        <v>54</v>
      </c>
      <c r="Z8">
        <f>VLOOKUP(Table1[[#This Row],[current_mood]],lookup_tables!$A$2:$B$6,2,FALSE)</f>
        <v>70</v>
      </c>
    </row>
    <row r="9" spans="1:26">
      <c r="A9">
        <v>8</v>
      </c>
      <c r="B9" t="s">
        <v>79</v>
      </c>
      <c r="C9">
        <v>13</v>
      </c>
      <c r="D9" t="s">
        <v>253</v>
      </c>
      <c r="E9" t="s">
        <v>243</v>
      </c>
      <c r="F9" t="s">
        <v>239</v>
      </c>
      <c r="G9" t="s">
        <v>80</v>
      </c>
      <c r="H9" t="s">
        <v>41</v>
      </c>
      <c r="I9">
        <v>30.28</v>
      </c>
      <c r="J9">
        <v>0.78</v>
      </c>
      <c r="K9" t="s">
        <v>258</v>
      </c>
      <c r="L9">
        <v>8975</v>
      </c>
      <c r="M9">
        <v>80</v>
      </c>
      <c r="N9">
        <v>154</v>
      </c>
      <c r="O9" t="s">
        <v>43</v>
      </c>
      <c r="P9">
        <v>7</v>
      </c>
      <c r="Q9" t="s">
        <v>259</v>
      </c>
      <c r="R9" t="s">
        <v>55</v>
      </c>
      <c r="S9">
        <v>7</v>
      </c>
      <c r="T9" t="s">
        <v>242</v>
      </c>
      <c r="U9" t="s">
        <v>260</v>
      </c>
      <c r="V9">
        <v>25803</v>
      </c>
      <c r="W9">
        <v>12</v>
      </c>
      <c r="X9">
        <v>60</v>
      </c>
      <c r="Y9">
        <v>42</v>
      </c>
      <c r="Z9">
        <f>VLOOKUP(Table1[[#This Row],[current_mood]],lookup_tables!$A$2:$B$6,2,FALSE)</f>
        <v>45</v>
      </c>
    </row>
    <row r="10" spans="1:26">
      <c r="A10">
        <v>9</v>
      </c>
      <c r="B10" t="s">
        <v>84</v>
      </c>
      <c r="C10">
        <v>7</v>
      </c>
      <c r="D10" t="s">
        <v>253</v>
      </c>
      <c r="E10" t="s">
        <v>243</v>
      </c>
      <c r="F10" t="s">
        <v>261</v>
      </c>
      <c r="G10" t="s">
        <v>86</v>
      </c>
      <c r="H10" t="s">
        <v>30</v>
      </c>
      <c r="I10">
        <v>32.83</v>
      </c>
      <c r="J10">
        <v>12.71</v>
      </c>
      <c r="K10" t="s">
        <v>254</v>
      </c>
      <c r="L10">
        <v>2923</v>
      </c>
      <c r="M10">
        <v>30</v>
      </c>
      <c r="N10">
        <v>139</v>
      </c>
      <c r="O10" t="s">
        <v>87</v>
      </c>
      <c r="P10">
        <v>11</v>
      </c>
      <c r="Q10" t="s">
        <v>262</v>
      </c>
      <c r="R10" t="s">
        <v>45</v>
      </c>
      <c r="S10">
        <v>29</v>
      </c>
      <c r="T10" t="s">
        <v>237</v>
      </c>
      <c r="U10" t="s">
        <v>89</v>
      </c>
      <c r="V10">
        <v>31274</v>
      </c>
      <c r="W10">
        <v>18</v>
      </c>
      <c r="X10">
        <v>26</v>
      </c>
      <c r="Y10">
        <v>43</v>
      </c>
      <c r="Z10">
        <f>VLOOKUP(Table1[[#This Row],[current_mood]],lookup_tables!$A$2:$B$6,2,FALSE)</f>
        <v>55</v>
      </c>
    </row>
    <row r="11" spans="1:26">
      <c r="A11">
        <v>10</v>
      </c>
      <c r="B11" t="s">
        <v>90</v>
      </c>
      <c r="C11">
        <v>11</v>
      </c>
      <c r="D11" t="s">
        <v>232</v>
      </c>
      <c r="E11" t="s">
        <v>243</v>
      </c>
      <c r="F11" t="s">
        <v>234</v>
      </c>
      <c r="G11" t="s">
        <v>51</v>
      </c>
      <c r="H11" t="s">
        <v>41</v>
      </c>
      <c r="I11">
        <v>15.39</v>
      </c>
      <c r="J11">
        <v>19.09</v>
      </c>
      <c r="K11" t="s">
        <v>240</v>
      </c>
      <c r="L11">
        <v>14934</v>
      </c>
      <c r="M11">
        <v>59</v>
      </c>
      <c r="N11">
        <v>91</v>
      </c>
      <c r="O11" t="s">
        <v>43</v>
      </c>
      <c r="P11">
        <v>1</v>
      </c>
      <c r="Q11" t="s">
        <v>263</v>
      </c>
      <c r="R11" t="s">
        <v>34</v>
      </c>
      <c r="S11">
        <v>11</v>
      </c>
      <c r="T11" t="s">
        <v>237</v>
      </c>
      <c r="U11" t="s">
        <v>75</v>
      </c>
      <c r="V11">
        <v>70834</v>
      </c>
      <c r="W11">
        <v>85</v>
      </c>
      <c r="X11">
        <v>15</v>
      </c>
      <c r="Y11">
        <v>79</v>
      </c>
      <c r="Z11">
        <f>VLOOKUP(Table1[[#This Row],[current_mood]],lookup_tables!$A$2:$B$6,2,FALSE)</f>
        <v>45</v>
      </c>
    </row>
    <row r="12" spans="1:26">
      <c r="A12">
        <v>11</v>
      </c>
      <c r="B12" t="s">
        <v>92</v>
      </c>
      <c r="C12">
        <v>11</v>
      </c>
      <c r="D12" t="s">
        <v>232</v>
      </c>
      <c r="E12" t="s">
        <v>243</v>
      </c>
      <c r="F12" t="s">
        <v>249</v>
      </c>
      <c r="G12" t="s">
        <v>40</v>
      </c>
      <c r="H12" t="s">
        <v>93</v>
      </c>
      <c r="I12">
        <v>2.96</v>
      </c>
      <c r="J12">
        <v>24.61</v>
      </c>
      <c r="K12" t="s">
        <v>264</v>
      </c>
      <c r="L12">
        <v>1697</v>
      </c>
      <c r="M12">
        <v>40</v>
      </c>
      <c r="N12">
        <v>137</v>
      </c>
      <c r="O12" t="s">
        <v>32</v>
      </c>
      <c r="P12">
        <v>5</v>
      </c>
      <c r="Q12" t="s">
        <v>265</v>
      </c>
      <c r="R12" t="s">
        <v>34</v>
      </c>
      <c r="S12">
        <v>79</v>
      </c>
      <c r="T12" t="s">
        <v>237</v>
      </c>
      <c r="U12" t="s">
        <v>89</v>
      </c>
      <c r="V12">
        <v>64929</v>
      </c>
      <c r="W12">
        <v>41</v>
      </c>
      <c r="X12">
        <v>40</v>
      </c>
      <c r="Y12">
        <v>28</v>
      </c>
      <c r="Z12">
        <f>VLOOKUP(Table1[[#This Row],[current_mood]],lookup_tables!$A$2:$B$6,2,FALSE)</f>
        <v>30</v>
      </c>
    </row>
    <row r="13" spans="1:26">
      <c r="A13">
        <v>12</v>
      </c>
      <c r="B13" t="s">
        <v>96</v>
      </c>
      <c r="C13">
        <v>14</v>
      </c>
      <c r="D13" t="s">
        <v>253</v>
      </c>
      <c r="E13" t="s">
        <v>238</v>
      </c>
      <c r="F13" t="s">
        <v>251</v>
      </c>
      <c r="G13" t="s">
        <v>51</v>
      </c>
      <c r="H13" t="s">
        <v>93</v>
      </c>
      <c r="I13">
        <v>35.979999999999997</v>
      </c>
      <c r="J13">
        <v>13.21</v>
      </c>
      <c r="K13" t="s">
        <v>240</v>
      </c>
      <c r="L13">
        <v>6711</v>
      </c>
      <c r="M13">
        <v>117</v>
      </c>
      <c r="N13">
        <v>131</v>
      </c>
      <c r="O13" t="s">
        <v>97</v>
      </c>
      <c r="P13">
        <v>0</v>
      </c>
      <c r="Q13" t="s">
        <v>236</v>
      </c>
      <c r="R13" t="s">
        <v>34</v>
      </c>
      <c r="S13">
        <v>5</v>
      </c>
      <c r="T13" t="s">
        <v>237</v>
      </c>
      <c r="U13" t="s">
        <v>98</v>
      </c>
      <c r="V13">
        <v>31713</v>
      </c>
      <c r="W13">
        <v>94</v>
      </c>
      <c r="X13">
        <v>85</v>
      </c>
      <c r="Y13">
        <v>71</v>
      </c>
      <c r="Z13">
        <f>VLOOKUP(Table1[[#This Row],[current_mood]],lookup_tables!$A$2:$B$6,2,FALSE)</f>
        <v>90</v>
      </c>
    </row>
    <row r="14" spans="1:26">
      <c r="A14">
        <v>13</v>
      </c>
      <c r="B14" t="s">
        <v>99</v>
      </c>
      <c r="C14">
        <v>13</v>
      </c>
      <c r="D14" t="s">
        <v>253</v>
      </c>
      <c r="E14" t="s">
        <v>243</v>
      </c>
      <c r="F14" t="s">
        <v>239</v>
      </c>
      <c r="G14" t="s">
        <v>100</v>
      </c>
      <c r="H14" t="s">
        <v>41</v>
      </c>
      <c r="I14">
        <v>3.62</v>
      </c>
      <c r="J14">
        <v>14.91</v>
      </c>
      <c r="K14" t="s">
        <v>235</v>
      </c>
      <c r="L14">
        <v>2159</v>
      </c>
      <c r="M14">
        <v>91</v>
      </c>
      <c r="N14">
        <v>63</v>
      </c>
      <c r="O14" t="s">
        <v>53</v>
      </c>
      <c r="P14">
        <v>6</v>
      </c>
      <c r="Q14" t="s">
        <v>241</v>
      </c>
      <c r="R14" t="s">
        <v>34</v>
      </c>
      <c r="S14">
        <v>59</v>
      </c>
      <c r="T14" t="s">
        <v>237</v>
      </c>
      <c r="U14" t="s">
        <v>101</v>
      </c>
      <c r="V14">
        <v>88486</v>
      </c>
      <c r="W14">
        <v>80</v>
      </c>
      <c r="X14">
        <v>55</v>
      </c>
      <c r="Y14">
        <v>24</v>
      </c>
      <c r="Z14">
        <f>VLOOKUP(Table1[[#This Row],[current_mood]],lookup_tables!$A$2:$B$6,2,FALSE)</f>
        <v>70</v>
      </c>
    </row>
    <row r="15" spans="1:26">
      <c r="A15">
        <v>14</v>
      </c>
      <c r="B15" t="s">
        <v>102</v>
      </c>
      <c r="C15">
        <v>15</v>
      </c>
      <c r="D15" t="s">
        <v>232</v>
      </c>
      <c r="E15" t="s">
        <v>243</v>
      </c>
      <c r="F15" t="s">
        <v>234</v>
      </c>
      <c r="G15" t="s">
        <v>86</v>
      </c>
      <c r="H15" t="s">
        <v>67</v>
      </c>
      <c r="I15">
        <v>5.65</v>
      </c>
      <c r="J15">
        <v>3.14</v>
      </c>
      <c r="K15" t="s">
        <v>258</v>
      </c>
      <c r="L15">
        <v>14150</v>
      </c>
      <c r="M15">
        <v>22</v>
      </c>
      <c r="N15">
        <v>121</v>
      </c>
      <c r="O15" t="s">
        <v>53</v>
      </c>
      <c r="P15">
        <v>8</v>
      </c>
      <c r="Q15" t="s">
        <v>265</v>
      </c>
      <c r="R15" t="s">
        <v>45</v>
      </c>
      <c r="S15">
        <v>75</v>
      </c>
      <c r="T15" t="s">
        <v>247</v>
      </c>
      <c r="U15" t="s">
        <v>63</v>
      </c>
      <c r="V15">
        <v>76260</v>
      </c>
      <c r="W15">
        <v>2</v>
      </c>
      <c r="X15">
        <v>79</v>
      </c>
      <c r="Y15">
        <v>15</v>
      </c>
      <c r="Z15">
        <f>VLOOKUP(Table1[[#This Row],[current_mood]],lookup_tables!$A$2:$B$6,2,FALSE)</f>
        <v>70</v>
      </c>
    </row>
    <row r="16" spans="1:26">
      <c r="A16">
        <v>15</v>
      </c>
      <c r="B16" t="s">
        <v>103</v>
      </c>
      <c r="C16">
        <v>16</v>
      </c>
      <c r="D16" t="s">
        <v>253</v>
      </c>
      <c r="E16" t="s">
        <v>238</v>
      </c>
      <c r="F16" t="s">
        <v>256</v>
      </c>
      <c r="G16" t="s">
        <v>72</v>
      </c>
      <c r="H16" t="s">
        <v>104</v>
      </c>
      <c r="I16">
        <v>17.29</v>
      </c>
      <c r="J16">
        <v>14.57</v>
      </c>
      <c r="K16" t="s">
        <v>254</v>
      </c>
      <c r="L16">
        <v>4814</v>
      </c>
      <c r="M16">
        <v>77</v>
      </c>
      <c r="N16">
        <v>153</v>
      </c>
      <c r="O16" t="s">
        <v>53</v>
      </c>
      <c r="P16">
        <v>2</v>
      </c>
      <c r="Q16" t="s">
        <v>252</v>
      </c>
      <c r="R16" t="s">
        <v>105</v>
      </c>
      <c r="S16">
        <v>60</v>
      </c>
      <c r="T16" t="s">
        <v>247</v>
      </c>
      <c r="U16" t="s">
        <v>106</v>
      </c>
      <c r="V16">
        <v>77716</v>
      </c>
      <c r="W16">
        <v>35</v>
      </c>
      <c r="X16">
        <v>55</v>
      </c>
      <c r="Y16">
        <v>39</v>
      </c>
      <c r="Z16">
        <f>VLOOKUP(Table1[[#This Row],[current_mood]],lookup_tables!$A$2:$B$6,2,FALSE)</f>
        <v>70</v>
      </c>
    </row>
    <row r="17" spans="1:26">
      <c r="A17">
        <v>16</v>
      </c>
      <c r="B17" t="s">
        <v>107</v>
      </c>
      <c r="C17">
        <v>8</v>
      </c>
      <c r="D17" t="s">
        <v>232</v>
      </c>
      <c r="E17" t="s">
        <v>238</v>
      </c>
      <c r="F17" t="s">
        <v>251</v>
      </c>
      <c r="G17" t="s">
        <v>80</v>
      </c>
      <c r="H17" t="s">
        <v>67</v>
      </c>
      <c r="I17">
        <v>16.350000000000001</v>
      </c>
      <c r="J17">
        <v>14.77</v>
      </c>
      <c r="K17" t="s">
        <v>266</v>
      </c>
      <c r="L17">
        <v>9860</v>
      </c>
      <c r="M17">
        <v>55</v>
      </c>
      <c r="N17">
        <v>136</v>
      </c>
      <c r="O17" t="s">
        <v>87</v>
      </c>
      <c r="P17">
        <v>8</v>
      </c>
      <c r="Q17" t="s">
        <v>259</v>
      </c>
      <c r="R17" t="s">
        <v>45</v>
      </c>
      <c r="S17">
        <v>53</v>
      </c>
      <c r="T17" t="s">
        <v>242</v>
      </c>
      <c r="U17" t="s">
        <v>109</v>
      </c>
      <c r="V17">
        <v>22291</v>
      </c>
      <c r="W17">
        <v>42</v>
      </c>
      <c r="X17">
        <v>83</v>
      </c>
      <c r="Y17">
        <v>83</v>
      </c>
      <c r="Z17">
        <f>VLOOKUP(Table1[[#This Row],[current_mood]],lookup_tables!$A$2:$B$6,2,FALSE)</f>
        <v>55</v>
      </c>
    </row>
    <row r="18" spans="1:26">
      <c r="A18">
        <v>17</v>
      </c>
      <c r="B18" t="s">
        <v>110</v>
      </c>
      <c r="C18">
        <v>12</v>
      </c>
      <c r="D18" t="s">
        <v>232</v>
      </c>
      <c r="E18" t="s">
        <v>243</v>
      </c>
      <c r="F18" t="s">
        <v>234</v>
      </c>
      <c r="G18" t="s">
        <v>29</v>
      </c>
      <c r="H18" t="s">
        <v>30</v>
      </c>
      <c r="I18">
        <v>7.09</v>
      </c>
      <c r="J18">
        <v>2.6</v>
      </c>
      <c r="K18" t="s">
        <v>267</v>
      </c>
      <c r="L18">
        <v>10172</v>
      </c>
      <c r="M18">
        <v>58</v>
      </c>
      <c r="N18">
        <v>114</v>
      </c>
      <c r="O18" t="s">
        <v>53</v>
      </c>
      <c r="P18">
        <v>4</v>
      </c>
      <c r="Q18" t="s">
        <v>262</v>
      </c>
      <c r="R18" t="s">
        <v>34</v>
      </c>
      <c r="S18">
        <v>51</v>
      </c>
      <c r="T18" t="s">
        <v>242</v>
      </c>
      <c r="U18" t="s">
        <v>112</v>
      </c>
      <c r="V18">
        <v>69408</v>
      </c>
      <c r="W18">
        <v>23</v>
      </c>
      <c r="X18">
        <v>34</v>
      </c>
      <c r="Y18">
        <v>20</v>
      </c>
      <c r="Z18">
        <f>VLOOKUP(Table1[[#This Row],[current_mood]],lookup_tables!$A$2:$B$6,2,FALSE)</f>
        <v>70</v>
      </c>
    </row>
    <row r="19" spans="1:26">
      <c r="A19">
        <v>18</v>
      </c>
      <c r="B19" t="s">
        <v>113</v>
      </c>
      <c r="C19">
        <v>1</v>
      </c>
      <c r="D19" t="s">
        <v>253</v>
      </c>
      <c r="E19" t="s">
        <v>233</v>
      </c>
      <c r="F19" t="s">
        <v>239</v>
      </c>
      <c r="G19" t="s">
        <v>40</v>
      </c>
      <c r="H19" t="s">
        <v>67</v>
      </c>
      <c r="I19">
        <v>12.67</v>
      </c>
      <c r="J19">
        <v>1.98</v>
      </c>
      <c r="K19" t="s">
        <v>240</v>
      </c>
      <c r="L19">
        <v>1646</v>
      </c>
      <c r="M19">
        <v>77</v>
      </c>
      <c r="N19">
        <v>125</v>
      </c>
      <c r="O19" t="s">
        <v>53</v>
      </c>
      <c r="P19">
        <v>3</v>
      </c>
      <c r="Q19" t="s">
        <v>268</v>
      </c>
      <c r="R19" t="s">
        <v>105</v>
      </c>
      <c r="S19">
        <v>11</v>
      </c>
      <c r="T19" t="s">
        <v>242</v>
      </c>
      <c r="U19" t="s">
        <v>36</v>
      </c>
      <c r="V19">
        <v>61575</v>
      </c>
      <c r="W19">
        <v>18</v>
      </c>
      <c r="X19">
        <v>39</v>
      </c>
      <c r="Y19">
        <v>28</v>
      </c>
      <c r="Z19">
        <f>VLOOKUP(Table1[[#This Row],[current_mood]],lookup_tables!$A$2:$B$6,2,FALSE)</f>
        <v>70</v>
      </c>
    </row>
    <row r="20" spans="1:26">
      <c r="A20">
        <v>19</v>
      </c>
      <c r="B20" t="s">
        <v>115</v>
      </c>
      <c r="C20">
        <v>3</v>
      </c>
      <c r="D20" t="s">
        <v>232</v>
      </c>
      <c r="E20" t="s">
        <v>238</v>
      </c>
      <c r="F20" t="s">
        <v>249</v>
      </c>
      <c r="G20" t="s">
        <v>72</v>
      </c>
      <c r="H20" t="s">
        <v>30</v>
      </c>
      <c r="I20">
        <v>18.440000000000001</v>
      </c>
      <c r="J20">
        <v>1.68</v>
      </c>
      <c r="K20" t="s">
        <v>269</v>
      </c>
      <c r="L20">
        <v>3671</v>
      </c>
      <c r="M20">
        <v>82</v>
      </c>
      <c r="N20">
        <v>95</v>
      </c>
      <c r="O20" t="s">
        <v>32</v>
      </c>
      <c r="P20">
        <v>4</v>
      </c>
      <c r="Q20" t="s">
        <v>259</v>
      </c>
      <c r="R20" t="s">
        <v>45</v>
      </c>
      <c r="S20">
        <v>86</v>
      </c>
      <c r="T20" t="s">
        <v>247</v>
      </c>
      <c r="U20" t="s">
        <v>117</v>
      </c>
      <c r="V20">
        <v>86575</v>
      </c>
      <c r="W20">
        <v>95</v>
      </c>
      <c r="X20">
        <v>61</v>
      </c>
      <c r="Y20">
        <v>47</v>
      </c>
      <c r="Z20">
        <f>VLOOKUP(Table1[[#This Row],[current_mood]],lookup_tables!$A$2:$B$6,2,FALSE)</f>
        <v>30</v>
      </c>
    </row>
    <row r="21" spans="1:26">
      <c r="A21">
        <v>20</v>
      </c>
      <c r="B21" t="s">
        <v>118</v>
      </c>
      <c r="C21">
        <v>1</v>
      </c>
      <c r="D21" t="s">
        <v>232</v>
      </c>
      <c r="E21" t="s">
        <v>238</v>
      </c>
      <c r="F21" t="s">
        <v>234</v>
      </c>
      <c r="G21" t="s">
        <v>72</v>
      </c>
      <c r="H21" t="s">
        <v>41</v>
      </c>
      <c r="I21">
        <v>10.59</v>
      </c>
      <c r="J21">
        <v>7.49</v>
      </c>
      <c r="K21" t="s">
        <v>254</v>
      </c>
      <c r="L21">
        <v>12823</v>
      </c>
      <c r="M21">
        <v>51</v>
      </c>
      <c r="N21">
        <v>108</v>
      </c>
      <c r="O21" t="s">
        <v>32</v>
      </c>
      <c r="P21">
        <v>10</v>
      </c>
      <c r="Q21" t="s">
        <v>262</v>
      </c>
      <c r="R21" t="s">
        <v>34</v>
      </c>
      <c r="S21">
        <v>86</v>
      </c>
      <c r="T21" t="s">
        <v>242</v>
      </c>
      <c r="U21" t="s">
        <v>270</v>
      </c>
      <c r="V21">
        <v>79867</v>
      </c>
      <c r="W21">
        <v>29</v>
      </c>
      <c r="X21">
        <v>63</v>
      </c>
      <c r="Y21">
        <v>41</v>
      </c>
      <c r="Z21">
        <f>VLOOKUP(Table1[[#This Row],[current_mood]],lookup_tables!$A$2:$B$6,2,FALSE)</f>
        <v>30</v>
      </c>
    </row>
    <row r="22" spans="1:26">
      <c r="A22">
        <v>21</v>
      </c>
      <c r="B22" t="s">
        <v>120</v>
      </c>
      <c r="C22">
        <v>5</v>
      </c>
      <c r="D22" t="s">
        <v>253</v>
      </c>
      <c r="E22" t="s">
        <v>238</v>
      </c>
      <c r="F22" t="s">
        <v>256</v>
      </c>
      <c r="G22" t="s">
        <v>72</v>
      </c>
      <c r="H22" t="s">
        <v>93</v>
      </c>
      <c r="I22">
        <v>21.48</v>
      </c>
      <c r="J22">
        <v>0.35</v>
      </c>
      <c r="K22" t="s">
        <v>271</v>
      </c>
      <c r="L22">
        <v>4161</v>
      </c>
      <c r="M22">
        <v>39</v>
      </c>
      <c r="N22">
        <v>116</v>
      </c>
      <c r="O22" t="s">
        <v>53</v>
      </c>
      <c r="P22">
        <v>5</v>
      </c>
      <c r="Q22" t="s">
        <v>252</v>
      </c>
      <c r="R22" t="s">
        <v>34</v>
      </c>
      <c r="S22">
        <v>56</v>
      </c>
      <c r="T22" t="s">
        <v>247</v>
      </c>
      <c r="U22" t="s">
        <v>122</v>
      </c>
      <c r="V22">
        <v>23177</v>
      </c>
      <c r="W22">
        <v>10</v>
      </c>
      <c r="X22">
        <v>22</v>
      </c>
      <c r="Y22">
        <v>80</v>
      </c>
      <c r="Z22">
        <f>VLOOKUP(Table1[[#This Row],[current_mood]],lookup_tables!$A$2:$B$6,2,FALSE)</f>
        <v>70</v>
      </c>
    </row>
    <row r="23" spans="1:26">
      <c r="A23">
        <v>22</v>
      </c>
      <c r="B23" t="s">
        <v>123</v>
      </c>
      <c r="C23">
        <v>8</v>
      </c>
      <c r="D23" t="s">
        <v>253</v>
      </c>
      <c r="E23" t="s">
        <v>238</v>
      </c>
      <c r="F23" t="s">
        <v>239</v>
      </c>
      <c r="G23" t="s">
        <v>72</v>
      </c>
      <c r="H23" t="s">
        <v>104</v>
      </c>
      <c r="I23">
        <v>23.81</v>
      </c>
      <c r="J23">
        <v>2.4</v>
      </c>
      <c r="K23" t="s">
        <v>235</v>
      </c>
      <c r="L23">
        <v>9076</v>
      </c>
      <c r="M23">
        <v>98</v>
      </c>
      <c r="N23">
        <v>114</v>
      </c>
      <c r="O23" t="s">
        <v>43</v>
      </c>
      <c r="P23">
        <v>10</v>
      </c>
      <c r="Q23" t="s">
        <v>265</v>
      </c>
      <c r="R23" t="s">
        <v>34</v>
      </c>
      <c r="S23">
        <v>53</v>
      </c>
      <c r="T23" t="s">
        <v>242</v>
      </c>
      <c r="U23" t="s">
        <v>124</v>
      </c>
      <c r="V23">
        <v>72834</v>
      </c>
      <c r="W23">
        <v>73</v>
      </c>
      <c r="X23">
        <v>44</v>
      </c>
      <c r="Y23">
        <v>68</v>
      </c>
      <c r="Z23">
        <f>VLOOKUP(Table1[[#This Row],[current_mood]],lookup_tables!$A$2:$B$6,2,FALSE)</f>
        <v>45</v>
      </c>
    </row>
    <row r="24" spans="1:26">
      <c r="A24">
        <v>23</v>
      </c>
      <c r="B24" t="s">
        <v>125</v>
      </c>
      <c r="C24">
        <v>13</v>
      </c>
      <c r="D24" t="s">
        <v>253</v>
      </c>
      <c r="E24" t="s">
        <v>243</v>
      </c>
      <c r="F24" t="s">
        <v>234</v>
      </c>
      <c r="G24" t="s">
        <v>126</v>
      </c>
      <c r="H24" t="s">
        <v>104</v>
      </c>
      <c r="I24">
        <v>28.06</v>
      </c>
      <c r="J24">
        <v>22.89</v>
      </c>
      <c r="K24" t="s">
        <v>266</v>
      </c>
      <c r="L24">
        <v>13723</v>
      </c>
      <c r="M24">
        <v>37</v>
      </c>
      <c r="N24">
        <v>134</v>
      </c>
      <c r="O24" t="s">
        <v>43</v>
      </c>
      <c r="P24">
        <v>3</v>
      </c>
      <c r="Q24" t="s">
        <v>272</v>
      </c>
      <c r="R24" t="s">
        <v>34</v>
      </c>
      <c r="S24">
        <v>8</v>
      </c>
      <c r="T24" t="s">
        <v>242</v>
      </c>
      <c r="U24" t="s">
        <v>128</v>
      </c>
      <c r="V24">
        <v>735</v>
      </c>
      <c r="W24">
        <v>99</v>
      </c>
      <c r="X24">
        <v>3</v>
      </c>
      <c r="Y24">
        <v>53</v>
      </c>
      <c r="Z24">
        <f>VLOOKUP(Table1[[#This Row],[current_mood]],lookup_tables!$A$2:$B$6,2,FALSE)</f>
        <v>45</v>
      </c>
    </row>
    <row r="25" spans="1:26">
      <c r="A25">
        <v>24</v>
      </c>
      <c r="B25" t="s">
        <v>129</v>
      </c>
      <c r="C25">
        <v>15</v>
      </c>
      <c r="D25" t="s">
        <v>253</v>
      </c>
      <c r="E25" t="s">
        <v>243</v>
      </c>
      <c r="F25" t="s">
        <v>251</v>
      </c>
      <c r="G25" t="s">
        <v>61</v>
      </c>
      <c r="H25" t="s">
        <v>67</v>
      </c>
      <c r="I25">
        <v>18.16</v>
      </c>
      <c r="J25">
        <v>12.63</v>
      </c>
      <c r="K25" t="s">
        <v>235</v>
      </c>
      <c r="L25">
        <v>5889</v>
      </c>
      <c r="M25">
        <v>41</v>
      </c>
      <c r="N25">
        <v>113</v>
      </c>
      <c r="O25" t="s">
        <v>53</v>
      </c>
      <c r="P25">
        <v>3</v>
      </c>
      <c r="Q25" t="s">
        <v>265</v>
      </c>
      <c r="R25" t="s">
        <v>34</v>
      </c>
      <c r="S25">
        <v>1</v>
      </c>
      <c r="T25" t="s">
        <v>237</v>
      </c>
      <c r="U25" t="s">
        <v>122</v>
      </c>
      <c r="V25">
        <v>71358</v>
      </c>
      <c r="W25">
        <v>67</v>
      </c>
      <c r="X25">
        <v>28</v>
      </c>
      <c r="Y25">
        <v>20</v>
      </c>
      <c r="Z25">
        <f>VLOOKUP(Table1[[#This Row],[current_mood]],lookup_tables!$A$2:$B$6,2,FALSE)</f>
        <v>70</v>
      </c>
    </row>
    <row r="26" spans="1:26">
      <c r="A26">
        <v>25</v>
      </c>
      <c r="B26" t="s">
        <v>130</v>
      </c>
      <c r="C26">
        <v>11</v>
      </c>
      <c r="D26" t="s">
        <v>232</v>
      </c>
      <c r="E26" t="s">
        <v>243</v>
      </c>
      <c r="F26" t="s">
        <v>249</v>
      </c>
      <c r="G26" t="s">
        <v>86</v>
      </c>
      <c r="H26" t="s">
        <v>30</v>
      </c>
      <c r="I26">
        <v>33.6</v>
      </c>
      <c r="J26">
        <v>11.76</v>
      </c>
      <c r="K26" t="s">
        <v>240</v>
      </c>
      <c r="L26">
        <v>5003</v>
      </c>
      <c r="M26">
        <v>80</v>
      </c>
      <c r="N26">
        <v>155</v>
      </c>
      <c r="O26" t="s">
        <v>53</v>
      </c>
      <c r="P26">
        <v>5</v>
      </c>
      <c r="Q26" t="s">
        <v>259</v>
      </c>
      <c r="R26" t="s">
        <v>45</v>
      </c>
      <c r="S26">
        <v>26</v>
      </c>
      <c r="T26" t="s">
        <v>247</v>
      </c>
      <c r="U26" t="s">
        <v>57</v>
      </c>
      <c r="V26">
        <v>53523</v>
      </c>
      <c r="W26">
        <v>44</v>
      </c>
      <c r="X26">
        <v>15</v>
      </c>
      <c r="Y26">
        <v>75</v>
      </c>
      <c r="Z26">
        <f>VLOOKUP(Table1[[#This Row],[current_mood]],lookup_tables!$A$2:$B$6,2,FALSE)</f>
        <v>70</v>
      </c>
    </row>
    <row r="27" spans="1:26">
      <c r="A27">
        <v>26</v>
      </c>
      <c r="B27" t="s">
        <v>131</v>
      </c>
      <c r="C27">
        <v>5</v>
      </c>
      <c r="D27" t="s">
        <v>232</v>
      </c>
      <c r="E27" t="s">
        <v>243</v>
      </c>
      <c r="F27" t="s">
        <v>239</v>
      </c>
      <c r="G27" t="s">
        <v>80</v>
      </c>
      <c r="H27" t="s">
        <v>104</v>
      </c>
      <c r="I27">
        <v>2.69</v>
      </c>
      <c r="J27">
        <v>19.95</v>
      </c>
      <c r="K27" t="s">
        <v>235</v>
      </c>
      <c r="L27">
        <v>10683</v>
      </c>
      <c r="M27">
        <v>57</v>
      </c>
      <c r="N27">
        <v>79</v>
      </c>
      <c r="O27" t="s">
        <v>53</v>
      </c>
      <c r="P27">
        <v>1</v>
      </c>
      <c r="Q27" t="s">
        <v>273</v>
      </c>
      <c r="R27" t="s">
        <v>45</v>
      </c>
      <c r="S27">
        <v>61</v>
      </c>
      <c r="T27" t="s">
        <v>242</v>
      </c>
      <c r="U27" t="s">
        <v>117</v>
      </c>
      <c r="V27">
        <v>72511</v>
      </c>
      <c r="W27">
        <v>96</v>
      </c>
      <c r="X27">
        <v>52</v>
      </c>
      <c r="Y27">
        <v>41</v>
      </c>
      <c r="Z27">
        <f>VLOOKUP(Table1[[#This Row],[current_mood]],lookup_tables!$A$2:$B$6,2,FALSE)</f>
        <v>70</v>
      </c>
    </row>
    <row r="28" spans="1:26">
      <c r="A28">
        <v>27</v>
      </c>
      <c r="B28" t="s">
        <v>133</v>
      </c>
      <c r="C28">
        <v>1</v>
      </c>
      <c r="D28" t="s">
        <v>232</v>
      </c>
      <c r="E28" t="s">
        <v>243</v>
      </c>
      <c r="F28" t="s">
        <v>261</v>
      </c>
      <c r="G28" t="s">
        <v>86</v>
      </c>
      <c r="H28" t="s">
        <v>41</v>
      </c>
      <c r="I28">
        <v>39.520000000000003</v>
      </c>
      <c r="J28">
        <v>17.440000000000001</v>
      </c>
      <c r="K28" t="s">
        <v>254</v>
      </c>
      <c r="L28">
        <v>9398</v>
      </c>
      <c r="M28">
        <v>62</v>
      </c>
      <c r="N28">
        <v>73</v>
      </c>
      <c r="O28" t="s">
        <v>87</v>
      </c>
      <c r="P28">
        <v>6</v>
      </c>
      <c r="Q28" t="s">
        <v>274</v>
      </c>
      <c r="R28" t="s">
        <v>34</v>
      </c>
      <c r="S28">
        <v>85</v>
      </c>
      <c r="T28" t="s">
        <v>237</v>
      </c>
      <c r="U28" t="s">
        <v>75</v>
      </c>
      <c r="V28">
        <v>8264</v>
      </c>
      <c r="W28">
        <v>28</v>
      </c>
      <c r="X28">
        <v>11</v>
      </c>
      <c r="Y28">
        <v>27</v>
      </c>
      <c r="Z28">
        <f>VLOOKUP(Table1[[#This Row],[current_mood]],lookup_tables!$A$2:$B$6,2,FALSE)</f>
        <v>55</v>
      </c>
    </row>
    <row r="29" spans="1:26">
      <c r="A29">
        <v>28</v>
      </c>
      <c r="B29" t="s">
        <v>135</v>
      </c>
      <c r="C29">
        <v>17</v>
      </c>
      <c r="D29" t="s">
        <v>232</v>
      </c>
      <c r="E29" t="s">
        <v>233</v>
      </c>
      <c r="F29" t="s">
        <v>234</v>
      </c>
      <c r="G29" t="s">
        <v>80</v>
      </c>
      <c r="H29" t="s">
        <v>93</v>
      </c>
      <c r="I29">
        <v>1.25</v>
      </c>
      <c r="J29">
        <v>14.05</v>
      </c>
      <c r="K29" t="s">
        <v>235</v>
      </c>
      <c r="L29">
        <v>1034</v>
      </c>
      <c r="M29">
        <v>107</v>
      </c>
      <c r="N29">
        <v>102</v>
      </c>
      <c r="O29" t="s">
        <v>87</v>
      </c>
      <c r="P29">
        <v>10</v>
      </c>
      <c r="Q29" t="s">
        <v>246</v>
      </c>
      <c r="R29" t="s">
        <v>105</v>
      </c>
      <c r="S29">
        <v>33</v>
      </c>
      <c r="T29" t="s">
        <v>247</v>
      </c>
      <c r="U29" t="s">
        <v>260</v>
      </c>
      <c r="V29">
        <v>9597</v>
      </c>
      <c r="W29">
        <v>71</v>
      </c>
      <c r="X29">
        <v>94</v>
      </c>
      <c r="Y29">
        <v>20</v>
      </c>
      <c r="Z29">
        <f>VLOOKUP(Table1[[#This Row],[current_mood]],lookup_tables!$A$2:$B$6,2,FALSE)</f>
        <v>55</v>
      </c>
    </row>
    <row r="30" spans="1:26">
      <c r="A30">
        <v>29</v>
      </c>
      <c r="B30" t="s">
        <v>136</v>
      </c>
      <c r="C30">
        <v>2</v>
      </c>
      <c r="D30" t="s">
        <v>253</v>
      </c>
      <c r="E30" t="s">
        <v>233</v>
      </c>
      <c r="F30" t="s">
        <v>251</v>
      </c>
      <c r="G30" t="s">
        <v>66</v>
      </c>
      <c r="H30" t="s">
        <v>30</v>
      </c>
      <c r="I30">
        <v>23.35</v>
      </c>
      <c r="J30">
        <v>12.57</v>
      </c>
      <c r="K30" t="s">
        <v>235</v>
      </c>
      <c r="L30">
        <v>5415</v>
      </c>
      <c r="M30">
        <v>52</v>
      </c>
      <c r="N30">
        <v>124</v>
      </c>
      <c r="O30" t="s">
        <v>97</v>
      </c>
      <c r="P30">
        <v>10</v>
      </c>
      <c r="Q30" t="s">
        <v>275</v>
      </c>
      <c r="R30" t="s">
        <v>55</v>
      </c>
      <c r="S30">
        <v>50</v>
      </c>
      <c r="T30" t="s">
        <v>242</v>
      </c>
      <c r="U30" t="s">
        <v>138</v>
      </c>
      <c r="V30">
        <v>73019</v>
      </c>
      <c r="W30">
        <v>38</v>
      </c>
      <c r="X30">
        <v>35</v>
      </c>
      <c r="Y30">
        <v>97</v>
      </c>
      <c r="Z30">
        <f>VLOOKUP(Table1[[#This Row],[current_mood]],lookup_tables!$A$2:$B$6,2,FALSE)</f>
        <v>90</v>
      </c>
    </row>
    <row r="31" spans="1:26">
      <c r="A31">
        <v>30</v>
      </c>
      <c r="B31" t="s">
        <v>139</v>
      </c>
      <c r="C31">
        <v>2</v>
      </c>
      <c r="D31" t="s">
        <v>232</v>
      </c>
      <c r="E31" t="s">
        <v>243</v>
      </c>
      <c r="F31" t="s">
        <v>239</v>
      </c>
      <c r="G31" t="s">
        <v>66</v>
      </c>
      <c r="H31" t="s">
        <v>30</v>
      </c>
      <c r="I31">
        <v>43.8</v>
      </c>
      <c r="J31">
        <v>7.99</v>
      </c>
      <c r="K31" t="s">
        <v>240</v>
      </c>
      <c r="L31">
        <v>13246</v>
      </c>
      <c r="M31">
        <v>66</v>
      </c>
      <c r="N31">
        <v>61</v>
      </c>
      <c r="O31" t="s">
        <v>53</v>
      </c>
      <c r="P31">
        <v>9</v>
      </c>
      <c r="Q31" t="s">
        <v>257</v>
      </c>
      <c r="R31" t="s">
        <v>105</v>
      </c>
      <c r="S31">
        <v>79</v>
      </c>
      <c r="T31" t="s">
        <v>237</v>
      </c>
      <c r="U31" t="s">
        <v>124</v>
      </c>
      <c r="V31">
        <v>76953</v>
      </c>
      <c r="W31">
        <v>77</v>
      </c>
      <c r="X31">
        <v>16</v>
      </c>
      <c r="Y31">
        <v>58</v>
      </c>
      <c r="Z31">
        <f>VLOOKUP(Table1[[#This Row],[current_mood]],lookup_tables!$A$2:$B$6,2,FALSE)</f>
        <v>70</v>
      </c>
    </row>
    <row r="32" spans="1:26">
      <c r="A32">
        <v>31</v>
      </c>
      <c r="B32" t="s">
        <v>140</v>
      </c>
      <c r="C32">
        <v>3</v>
      </c>
      <c r="D32" t="s">
        <v>253</v>
      </c>
      <c r="E32" t="s">
        <v>233</v>
      </c>
      <c r="F32" t="s">
        <v>234</v>
      </c>
      <c r="G32" t="s">
        <v>141</v>
      </c>
      <c r="H32" t="s">
        <v>93</v>
      </c>
      <c r="I32">
        <v>33.299999999999997</v>
      </c>
      <c r="J32">
        <v>9.77</v>
      </c>
      <c r="K32" t="s">
        <v>266</v>
      </c>
      <c r="L32">
        <v>2015</v>
      </c>
      <c r="M32">
        <v>39</v>
      </c>
      <c r="N32">
        <v>155</v>
      </c>
      <c r="O32" t="s">
        <v>43</v>
      </c>
      <c r="P32">
        <v>11</v>
      </c>
      <c r="Q32" t="s">
        <v>246</v>
      </c>
      <c r="R32" t="s">
        <v>34</v>
      </c>
      <c r="S32">
        <v>86</v>
      </c>
      <c r="T32" t="s">
        <v>242</v>
      </c>
      <c r="U32" t="s">
        <v>101</v>
      </c>
      <c r="V32">
        <v>4283</v>
      </c>
      <c r="W32">
        <v>82</v>
      </c>
      <c r="X32">
        <v>63</v>
      </c>
      <c r="Y32">
        <v>44</v>
      </c>
      <c r="Z32">
        <f>VLOOKUP(Table1[[#This Row],[current_mood]],lookup_tables!$A$2:$B$6,2,FALSE)</f>
        <v>45</v>
      </c>
    </row>
    <row r="33" spans="1:26">
      <c r="A33">
        <v>32</v>
      </c>
      <c r="B33" t="s">
        <v>142</v>
      </c>
      <c r="C33">
        <v>11</v>
      </c>
      <c r="D33" t="s">
        <v>232</v>
      </c>
      <c r="E33" t="s">
        <v>233</v>
      </c>
      <c r="F33" t="s">
        <v>244</v>
      </c>
      <c r="G33" t="s">
        <v>51</v>
      </c>
      <c r="H33" t="s">
        <v>30</v>
      </c>
      <c r="I33">
        <v>14.11</v>
      </c>
      <c r="J33">
        <v>20.93</v>
      </c>
      <c r="K33" t="s">
        <v>254</v>
      </c>
      <c r="L33">
        <v>11825</v>
      </c>
      <c r="M33">
        <v>51</v>
      </c>
      <c r="N33">
        <v>74</v>
      </c>
      <c r="O33" t="s">
        <v>97</v>
      </c>
      <c r="P33">
        <v>8</v>
      </c>
      <c r="Q33" t="s">
        <v>272</v>
      </c>
      <c r="R33" t="s">
        <v>45</v>
      </c>
      <c r="S33">
        <v>3</v>
      </c>
      <c r="T33" t="s">
        <v>242</v>
      </c>
      <c r="U33" t="s">
        <v>89</v>
      </c>
      <c r="V33">
        <v>2128</v>
      </c>
      <c r="W33">
        <v>19</v>
      </c>
      <c r="X33">
        <v>61</v>
      </c>
      <c r="Y33">
        <v>5</v>
      </c>
      <c r="Z33">
        <f>VLOOKUP(Table1[[#This Row],[current_mood]],lookup_tables!$A$2:$B$6,2,FALSE)</f>
        <v>90</v>
      </c>
    </row>
    <row r="34" spans="1:26">
      <c r="A34">
        <v>33</v>
      </c>
      <c r="B34" t="s">
        <v>143</v>
      </c>
      <c r="C34">
        <v>8</v>
      </c>
      <c r="D34" t="s">
        <v>276</v>
      </c>
      <c r="E34" t="s">
        <v>248</v>
      </c>
      <c r="F34" t="s">
        <v>256</v>
      </c>
      <c r="G34" t="s">
        <v>145</v>
      </c>
      <c r="H34" t="s">
        <v>93</v>
      </c>
      <c r="I34">
        <v>27.29</v>
      </c>
      <c r="J34">
        <v>23.07</v>
      </c>
      <c r="K34" t="s">
        <v>277</v>
      </c>
      <c r="L34">
        <v>10380</v>
      </c>
      <c r="M34">
        <v>91</v>
      </c>
      <c r="N34">
        <v>155</v>
      </c>
      <c r="O34" t="s">
        <v>87</v>
      </c>
      <c r="P34">
        <v>1</v>
      </c>
      <c r="Q34" t="s">
        <v>252</v>
      </c>
      <c r="R34" t="s">
        <v>45</v>
      </c>
      <c r="S34">
        <v>18</v>
      </c>
      <c r="T34" t="s">
        <v>242</v>
      </c>
      <c r="U34" t="s">
        <v>36</v>
      </c>
      <c r="V34">
        <v>91476</v>
      </c>
      <c r="W34">
        <v>41</v>
      </c>
      <c r="X34">
        <v>99</v>
      </c>
      <c r="Y34">
        <v>2</v>
      </c>
      <c r="Z34">
        <f>VLOOKUP(Table1[[#This Row],[current_mood]],lookup_tables!$A$2:$B$6,2,FALSE)</f>
        <v>55</v>
      </c>
    </row>
    <row r="35" spans="1:26">
      <c r="A35">
        <v>34</v>
      </c>
      <c r="B35" t="s">
        <v>147</v>
      </c>
      <c r="C35">
        <v>1</v>
      </c>
      <c r="D35" t="s">
        <v>253</v>
      </c>
      <c r="E35" t="s">
        <v>248</v>
      </c>
      <c r="F35" t="s">
        <v>251</v>
      </c>
      <c r="G35" t="s">
        <v>126</v>
      </c>
      <c r="H35" t="s">
        <v>41</v>
      </c>
      <c r="I35">
        <v>22.65</v>
      </c>
      <c r="J35">
        <v>16.21</v>
      </c>
      <c r="K35" t="s">
        <v>254</v>
      </c>
      <c r="L35">
        <v>6484</v>
      </c>
      <c r="M35">
        <v>20</v>
      </c>
      <c r="N35">
        <v>100</v>
      </c>
      <c r="O35" t="s">
        <v>97</v>
      </c>
      <c r="P35">
        <v>7</v>
      </c>
      <c r="Q35" t="s">
        <v>257</v>
      </c>
      <c r="R35" t="s">
        <v>55</v>
      </c>
      <c r="S35">
        <v>29</v>
      </c>
      <c r="T35" t="s">
        <v>242</v>
      </c>
      <c r="U35" t="s">
        <v>278</v>
      </c>
      <c r="V35">
        <v>45567</v>
      </c>
      <c r="W35">
        <v>71</v>
      </c>
      <c r="X35">
        <v>24</v>
      </c>
      <c r="Y35">
        <v>31</v>
      </c>
      <c r="Z35">
        <f>VLOOKUP(Table1[[#This Row],[current_mood]],lookup_tables!$A$2:$B$6,2,FALSE)</f>
        <v>90</v>
      </c>
    </row>
    <row r="36" spans="1:26">
      <c r="A36">
        <v>35</v>
      </c>
      <c r="B36" t="s">
        <v>149</v>
      </c>
      <c r="C36">
        <v>11</v>
      </c>
      <c r="D36" t="s">
        <v>253</v>
      </c>
      <c r="E36" t="s">
        <v>243</v>
      </c>
      <c r="F36" t="s">
        <v>249</v>
      </c>
      <c r="G36" t="s">
        <v>126</v>
      </c>
      <c r="H36" t="s">
        <v>30</v>
      </c>
      <c r="I36">
        <v>18.559999999999999</v>
      </c>
      <c r="J36">
        <v>5.16</v>
      </c>
      <c r="K36" t="s">
        <v>235</v>
      </c>
      <c r="L36">
        <v>12186</v>
      </c>
      <c r="M36">
        <v>35</v>
      </c>
      <c r="N36">
        <v>100</v>
      </c>
      <c r="O36" t="s">
        <v>43</v>
      </c>
      <c r="P36">
        <v>6</v>
      </c>
      <c r="Q36" t="s">
        <v>265</v>
      </c>
      <c r="R36" t="s">
        <v>105</v>
      </c>
      <c r="S36">
        <v>74</v>
      </c>
      <c r="T36" t="s">
        <v>242</v>
      </c>
      <c r="U36" t="s">
        <v>89</v>
      </c>
      <c r="V36">
        <v>62685</v>
      </c>
      <c r="W36">
        <v>77</v>
      </c>
      <c r="X36">
        <v>23</v>
      </c>
      <c r="Y36">
        <v>6</v>
      </c>
      <c r="Z36">
        <f>VLOOKUP(Table1[[#This Row],[current_mood]],lookup_tables!$A$2:$B$6,2,FALSE)</f>
        <v>45</v>
      </c>
    </row>
    <row r="37" spans="1:26">
      <c r="A37">
        <v>36</v>
      </c>
      <c r="B37" t="s">
        <v>150</v>
      </c>
      <c r="C37">
        <v>16</v>
      </c>
      <c r="D37" t="s">
        <v>232</v>
      </c>
      <c r="E37" t="s">
        <v>233</v>
      </c>
      <c r="F37" t="s">
        <v>239</v>
      </c>
      <c r="G37" t="s">
        <v>145</v>
      </c>
      <c r="H37" t="s">
        <v>41</v>
      </c>
      <c r="I37">
        <v>30.72</v>
      </c>
      <c r="J37">
        <v>14.3</v>
      </c>
      <c r="K37" t="s">
        <v>254</v>
      </c>
      <c r="L37">
        <v>13363</v>
      </c>
      <c r="M37">
        <v>114</v>
      </c>
      <c r="N37">
        <v>139</v>
      </c>
      <c r="O37" t="s">
        <v>87</v>
      </c>
      <c r="P37">
        <v>11</v>
      </c>
      <c r="Q37" t="s">
        <v>236</v>
      </c>
      <c r="R37" t="s">
        <v>105</v>
      </c>
      <c r="S37">
        <v>45</v>
      </c>
      <c r="T37" t="s">
        <v>237</v>
      </c>
      <c r="U37" t="s">
        <v>69</v>
      </c>
      <c r="V37">
        <v>57590</v>
      </c>
      <c r="W37">
        <v>11</v>
      </c>
      <c r="X37">
        <v>90</v>
      </c>
      <c r="Y37">
        <v>74</v>
      </c>
      <c r="Z37">
        <f>VLOOKUP(Table1[[#This Row],[current_mood]],lookup_tables!$A$2:$B$6,2,FALSE)</f>
        <v>55</v>
      </c>
    </row>
    <row r="38" spans="1:26">
      <c r="A38">
        <v>37</v>
      </c>
      <c r="B38" t="s">
        <v>151</v>
      </c>
      <c r="C38">
        <v>4</v>
      </c>
      <c r="D38" t="s">
        <v>253</v>
      </c>
      <c r="E38" t="s">
        <v>238</v>
      </c>
      <c r="F38" t="s">
        <v>234</v>
      </c>
      <c r="G38" t="s">
        <v>80</v>
      </c>
      <c r="H38" t="s">
        <v>41</v>
      </c>
      <c r="I38">
        <v>37.729999999999997</v>
      </c>
      <c r="J38">
        <v>14.71</v>
      </c>
      <c r="K38" t="s">
        <v>279</v>
      </c>
      <c r="L38">
        <v>10715</v>
      </c>
      <c r="M38">
        <v>108</v>
      </c>
      <c r="N38">
        <v>75</v>
      </c>
      <c r="O38" t="s">
        <v>43</v>
      </c>
      <c r="P38">
        <v>3</v>
      </c>
      <c r="Q38" t="s">
        <v>273</v>
      </c>
      <c r="R38" t="s">
        <v>55</v>
      </c>
      <c r="S38">
        <v>2</v>
      </c>
      <c r="T38" t="s">
        <v>242</v>
      </c>
      <c r="U38" t="s">
        <v>153</v>
      </c>
      <c r="V38">
        <v>47226</v>
      </c>
      <c r="W38">
        <v>88</v>
      </c>
      <c r="X38">
        <v>28</v>
      </c>
      <c r="Y38">
        <v>45</v>
      </c>
      <c r="Z38">
        <f>VLOOKUP(Table1[[#This Row],[current_mood]],lookup_tables!$A$2:$B$6,2,FALSE)</f>
        <v>45</v>
      </c>
    </row>
    <row r="39" spans="1:26">
      <c r="A39">
        <v>38</v>
      </c>
      <c r="B39" t="s">
        <v>154</v>
      </c>
      <c r="C39">
        <v>16</v>
      </c>
      <c r="D39" t="s">
        <v>276</v>
      </c>
      <c r="E39" t="s">
        <v>238</v>
      </c>
      <c r="F39" t="s">
        <v>251</v>
      </c>
      <c r="G39" t="s">
        <v>61</v>
      </c>
      <c r="H39" t="s">
        <v>41</v>
      </c>
      <c r="I39">
        <v>32.76</v>
      </c>
      <c r="J39">
        <v>15.35</v>
      </c>
      <c r="K39" t="s">
        <v>235</v>
      </c>
      <c r="L39">
        <v>11814</v>
      </c>
      <c r="M39">
        <v>40</v>
      </c>
      <c r="N39">
        <v>118</v>
      </c>
      <c r="O39" t="s">
        <v>43</v>
      </c>
      <c r="P39">
        <v>2</v>
      </c>
      <c r="Q39" t="s">
        <v>273</v>
      </c>
      <c r="R39" t="s">
        <v>45</v>
      </c>
      <c r="S39">
        <v>55</v>
      </c>
      <c r="T39" t="s">
        <v>237</v>
      </c>
      <c r="U39" t="s">
        <v>155</v>
      </c>
      <c r="V39">
        <v>69785</v>
      </c>
      <c r="W39">
        <v>89</v>
      </c>
      <c r="X39">
        <v>28</v>
      </c>
      <c r="Y39">
        <v>75</v>
      </c>
      <c r="Z39">
        <f>VLOOKUP(Table1[[#This Row],[current_mood]],lookup_tables!$A$2:$B$6,2,FALSE)</f>
        <v>45</v>
      </c>
    </row>
    <row r="40" spans="1:26">
      <c r="A40">
        <v>39</v>
      </c>
      <c r="B40" t="s">
        <v>156</v>
      </c>
      <c r="C40">
        <v>11</v>
      </c>
      <c r="D40" t="s">
        <v>253</v>
      </c>
      <c r="E40" t="s">
        <v>248</v>
      </c>
      <c r="F40" t="s">
        <v>234</v>
      </c>
      <c r="G40" t="s">
        <v>80</v>
      </c>
      <c r="H40" t="s">
        <v>93</v>
      </c>
      <c r="I40">
        <v>20.309999999999999</v>
      </c>
      <c r="J40">
        <v>12.87</v>
      </c>
      <c r="K40" t="s">
        <v>271</v>
      </c>
      <c r="L40">
        <v>7774</v>
      </c>
      <c r="M40">
        <v>78</v>
      </c>
      <c r="N40">
        <v>154</v>
      </c>
      <c r="O40" t="s">
        <v>87</v>
      </c>
      <c r="P40">
        <v>5</v>
      </c>
      <c r="Q40" t="s">
        <v>272</v>
      </c>
      <c r="R40" t="s">
        <v>45</v>
      </c>
      <c r="S40">
        <v>20</v>
      </c>
      <c r="T40" t="s">
        <v>237</v>
      </c>
      <c r="U40" t="s">
        <v>278</v>
      </c>
      <c r="V40">
        <v>21931</v>
      </c>
      <c r="W40">
        <v>31</v>
      </c>
      <c r="X40">
        <v>20</v>
      </c>
      <c r="Y40">
        <v>51</v>
      </c>
      <c r="Z40">
        <f>VLOOKUP(Table1[[#This Row],[current_mood]],lookup_tables!$A$2:$B$6,2,FALSE)</f>
        <v>55</v>
      </c>
    </row>
    <row r="41" spans="1:26">
      <c r="A41">
        <v>40</v>
      </c>
      <c r="B41" t="s">
        <v>157</v>
      </c>
      <c r="C41">
        <v>4</v>
      </c>
      <c r="D41" t="s">
        <v>232</v>
      </c>
      <c r="E41" t="s">
        <v>243</v>
      </c>
      <c r="F41" t="s">
        <v>239</v>
      </c>
      <c r="G41" t="s">
        <v>40</v>
      </c>
      <c r="H41" t="s">
        <v>93</v>
      </c>
      <c r="I41">
        <v>24.73</v>
      </c>
      <c r="J41">
        <v>10.96</v>
      </c>
      <c r="K41" t="s">
        <v>271</v>
      </c>
      <c r="L41">
        <v>11356</v>
      </c>
      <c r="M41">
        <v>94</v>
      </c>
      <c r="N41">
        <v>124</v>
      </c>
      <c r="O41" t="s">
        <v>53</v>
      </c>
      <c r="P41">
        <v>9</v>
      </c>
      <c r="Q41" t="s">
        <v>273</v>
      </c>
      <c r="R41" t="s">
        <v>34</v>
      </c>
      <c r="S41">
        <v>38</v>
      </c>
      <c r="T41" t="s">
        <v>247</v>
      </c>
      <c r="U41" t="s">
        <v>158</v>
      </c>
      <c r="V41">
        <v>28869</v>
      </c>
      <c r="W41">
        <v>99</v>
      </c>
      <c r="X41">
        <v>4</v>
      </c>
      <c r="Y41">
        <v>30</v>
      </c>
      <c r="Z41">
        <f>VLOOKUP(Table1[[#This Row],[current_mood]],lookup_tables!$A$2:$B$6,2,FALSE)</f>
        <v>70</v>
      </c>
    </row>
    <row r="42" spans="1:26">
      <c r="A42">
        <v>41</v>
      </c>
      <c r="B42" t="s">
        <v>159</v>
      </c>
      <c r="C42">
        <v>4</v>
      </c>
      <c r="D42" t="s">
        <v>253</v>
      </c>
      <c r="E42" t="s">
        <v>243</v>
      </c>
      <c r="F42" t="s">
        <v>256</v>
      </c>
      <c r="G42" t="s">
        <v>29</v>
      </c>
      <c r="H42" t="s">
        <v>41</v>
      </c>
      <c r="I42">
        <v>24.46</v>
      </c>
      <c r="J42">
        <v>10.31</v>
      </c>
      <c r="K42" t="s">
        <v>254</v>
      </c>
      <c r="L42">
        <v>14624</v>
      </c>
      <c r="M42">
        <v>63</v>
      </c>
      <c r="N42">
        <v>157</v>
      </c>
      <c r="O42" t="s">
        <v>53</v>
      </c>
      <c r="P42">
        <v>1</v>
      </c>
      <c r="Q42" t="s">
        <v>257</v>
      </c>
      <c r="R42" t="s">
        <v>55</v>
      </c>
      <c r="S42">
        <v>87</v>
      </c>
      <c r="T42" t="s">
        <v>237</v>
      </c>
      <c r="U42" t="s">
        <v>128</v>
      </c>
      <c r="V42">
        <v>55159</v>
      </c>
      <c r="W42">
        <v>12</v>
      </c>
      <c r="X42">
        <v>90</v>
      </c>
      <c r="Y42">
        <v>32</v>
      </c>
      <c r="Z42">
        <f>VLOOKUP(Table1[[#This Row],[current_mood]],lookup_tables!$A$2:$B$6,2,FALSE)</f>
        <v>70</v>
      </c>
    </row>
    <row r="43" spans="1:26">
      <c r="A43">
        <v>42</v>
      </c>
      <c r="B43" t="s">
        <v>160</v>
      </c>
      <c r="C43">
        <v>2</v>
      </c>
      <c r="D43" t="s">
        <v>253</v>
      </c>
      <c r="E43" t="s">
        <v>248</v>
      </c>
      <c r="F43" t="s">
        <v>261</v>
      </c>
      <c r="G43" t="s">
        <v>61</v>
      </c>
      <c r="H43" t="s">
        <v>41</v>
      </c>
      <c r="I43">
        <v>16.91</v>
      </c>
      <c r="J43">
        <v>15.49</v>
      </c>
      <c r="K43" t="s">
        <v>280</v>
      </c>
      <c r="L43">
        <v>1895</v>
      </c>
      <c r="M43">
        <v>36</v>
      </c>
      <c r="N43">
        <v>76</v>
      </c>
      <c r="O43" t="s">
        <v>53</v>
      </c>
      <c r="P43">
        <v>4</v>
      </c>
      <c r="Q43" t="s">
        <v>262</v>
      </c>
      <c r="R43" t="s">
        <v>105</v>
      </c>
      <c r="S43">
        <v>93</v>
      </c>
      <c r="T43" t="s">
        <v>237</v>
      </c>
      <c r="U43" t="s">
        <v>281</v>
      </c>
      <c r="V43">
        <v>72326</v>
      </c>
      <c r="W43">
        <v>99</v>
      </c>
      <c r="X43">
        <v>53</v>
      </c>
      <c r="Y43">
        <v>97</v>
      </c>
      <c r="Z43">
        <f>VLOOKUP(Table1[[#This Row],[current_mood]],lookup_tables!$A$2:$B$6,2,FALSE)</f>
        <v>70</v>
      </c>
    </row>
    <row r="44" spans="1:26">
      <c r="A44">
        <v>43</v>
      </c>
      <c r="B44" t="s">
        <v>163</v>
      </c>
      <c r="C44">
        <v>3</v>
      </c>
      <c r="D44" t="s">
        <v>232</v>
      </c>
      <c r="E44" t="s">
        <v>238</v>
      </c>
      <c r="F44" t="s">
        <v>234</v>
      </c>
      <c r="G44" t="s">
        <v>66</v>
      </c>
      <c r="H44" t="s">
        <v>41</v>
      </c>
      <c r="I44">
        <v>15.33</v>
      </c>
      <c r="J44">
        <v>16</v>
      </c>
      <c r="K44" t="s">
        <v>254</v>
      </c>
      <c r="L44">
        <v>7896</v>
      </c>
      <c r="M44">
        <v>100</v>
      </c>
      <c r="N44">
        <v>130</v>
      </c>
      <c r="O44" t="s">
        <v>32</v>
      </c>
      <c r="P44">
        <v>0</v>
      </c>
      <c r="Q44" t="s">
        <v>274</v>
      </c>
      <c r="R44" t="s">
        <v>34</v>
      </c>
      <c r="S44">
        <v>62</v>
      </c>
      <c r="T44" t="s">
        <v>247</v>
      </c>
      <c r="U44" t="s">
        <v>106</v>
      </c>
      <c r="V44">
        <v>83863</v>
      </c>
      <c r="W44">
        <v>49</v>
      </c>
      <c r="X44">
        <v>10</v>
      </c>
      <c r="Y44">
        <v>97</v>
      </c>
      <c r="Z44">
        <f>VLOOKUP(Table1[[#This Row],[current_mood]],lookup_tables!$A$2:$B$6,2,FALSE)</f>
        <v>30</v>
      </c>
    </row>
    <row r="45" spans="1:26">
      <c r="A45">
        <v>44</v>
      </c>
      <c r="B45" t="s">
        <v>164</v>
      </c>
      <c r="C45">
        <v>18</v>
      </c>
      <c r="D45" t="s">
        <v>253</v>
      </c>
      <c r="E45" t="s">
        <v>238</v>
      </c>
      <c r="F45" t="s">
        <v>249</v>
      </c>
      <c r="G45" t="s">
        <v>141</v>
      </c>
      <c r="H45" t="s">
        <v>67</v>
      </c>
      <c r="I45">
        <v>34.83</v>
      </c>
      <c r="J45">
        <v>8.41</v>
      </c>
      <c r="K45" t="s">
        <v>254</v>
      </c>
      <c r="L45">
        <v>5451</v>
      </c>
      <c r="M45">
        <v>89</v>
      </c>
      <c r="N45">
        <v>144</v>
      </c>
      <c r="O45" t="s">
        <v>87</v>
      </c>
      <c r="P45">
        <v>0</v>
      </c>
      <c r="Q45" t="s">
        <v>262</v>
      </c>
      <c r="R45" t="s">
        <v>105</v>
      </c>
      <c r="S45">
        <v>86</v>
      </c>
      <c r="T45" t="s">
        <v>247</v>
      </c>
      <c r="U45" t="s">
        <v>47</v>
      </c>
      <c r="V45">
        <v>73891</v>
      </c>
      <c r="W45">
        <v>36</v>
      </c>
      <c r="X45">
        <v>54</v>
      </c>
      <c r="Y45">
        <v>81</v>
      </c>
      <c r="Z45">
        <f>VLOOKUP(Table1[[#This Row],[current_mood]],lookup_tables!$A$2:$B$6,2,FALSE)</f>
        <v>55</v>
      </c>
    </row>
    <row r="46" spans="1:26">
      <c r="A46">
        <v>45</v>
      </c>
      <c r="B46" t="s">
        <v>165</v>
      </c>
      <c r="C46">
        <v>9</v>
      </c>
      <c r="D46" t="s">
        <v>253</v>
      </c>
      <c r="E46" t="s">
        <v>233</v>
      </c>
      <c r="F46" t="s">
        <v>239</v>
      </c>
      <c r="G46" t="s">
        <v>145</v>
      </c>
      <c r="H46" t="s">
        <v>41</v>
      </c>
      <c r="I46">
        <v>5.77</v>
      </c>
      <c r="J46">
        <v>11.38</v>
      </c>
      <c r="K46" t="s">
        <v>235</v>
      </c>
      <c r="L46">
        <v>2356</v>
      </c>
      <c r="M46">
        <v>44</v>
      </c>
      <c r="N46">
        <v>87</v>
      </c>
      <c r="O46" t="s">
        <v>32</v>
      </c>
      <c r="P46">
        <v>2</v>
      </c>
      <c r="Q46" t="s">
        <v>252</v>
      </c>
      <c r="R46" t="s">
        <v>45</v>
      </c>
      <c r="S46">
        <v>12</v>
      </c>
      <c r="T46" t="s">
        <v>242</v>
      </c>
      <c r="U46" t="s">
        <v>106</v>
      </c>
      <c r="V46">
        <v>88029</v>
      </c>
      <c r="W46">
        <v>5</v>
      </c>
      <c r="X46">
        <v>81</v>
      </c>
      <c r="Y46">
        <v>43</v>
      </c>
      <c r="Z46">
        <f>VLOOKUP(Table1[[#This Row],[current_mood]],lookup_tables!$A$2:$B$6,2,FALSE)</f>
        <v>30</v>
      </c>
    </row>
    <row r="47" spans="1:26">
      <c r="A47">
        <v>46</v>
      </c>
      <c r="B47" t="s">
        <v>166</v>
      </c>
      <c r="C47">
        <v>2</v>
      </c>
      <c r="D47" t="s">
        <v>232</v>
      </c>
      <c r="E47" t="s">
        <v>233</v>
      </c>
      <c r="F47" t="s">
        <v>251</v>
      </c>
      <c r="G47" t="s">
        <v>61</v>
      </c>
      <c r="H47" t="s">
        <v>67</v>
      </c>
      <c r="I47">
        <v>13.62</v>
      </c>
      <c r="J47">
        <v>8.69</v>
      </c>
      <c r="K47" t="s">
        <v>271</v>
      </c>
      <c r="L47">
        <v>738</v>
      </c>
      <c r="M47">
        <v>107</v>
      </c>
      <c r="N47">
        <v>96</v>
      </c>
      <c r="O47" t="s">
        <v>43</v>
      </c>
      <c r="P47">
        <v>2</v>
      </c>
      <c r="Q47" t="s">
        <v>241</v>
      </c>
      <c r="R47" t="s">
        <v>55</v>
      </c>
      <c r="S47">
        <v>24</v>
      </c>
      <c r="T47" t="s">
        <v>242</v>
      </c>
      <c r="U47" t="s">
        <v>101</v>
      </c>
      <c r="V47">
        <v>31769</v>
      </c>
      <c r="W47">
        <v>12</v>
      </c>
      <c r="X47">
        <v>34</v>
      </c>
      <c r="Y47">
        <v>26</v>
      </c>
      <c r="Z47">
        <f>VLOOKUP(Table1[[#This Row],[current_mood]],lookup_tables!$A$2:$B$6,2,FALSE)</f>
        <v>45</v>
      </c>
    </row>
    <row r="48" spans="1:26">
      <c r="A48">
        <v>47</v>
      </c>
      <c r="B48" t="s">
        <v>167</v>
      </c>
      <c r="C48">
        <v>9</v>
      </c>
      <c r="D48" t="s">
        <v>253</v>
      </c>
      <c r="E48" t="s">
        <v>238</v>
      </c>
      <c r="F48" t="s">
        <v>234</v>
      </c>
      <c r="G48" t="s">
        <v>51</v>
      </c>
      <c r="H48" t="s">
        <v>67</v>
      </c>
      <c r="I48">
        <v>29.88</v>
      </c>
      <c r="J48">
        <v>21.82</v>
      </c>
      <c r="K48" t="s">
        <v>266</v>
      </c>
      <c r="L48">
        <v>9300</v>
      </c>
      <c r="M48">
        <v>56</v>
      </c>
      <c r="N48">
        <v>66</v>
      </c>
      <c r="O48" t="s">
        <v>53</v>
      </c>
      <c r="P48">
        <v>7</v>
      </c>
      <c r="Q48" t="s">
        <v>250</v>
      </c>
      <c r="R48" t="s">
        <v>55</v>
      </c>
      <c r="S48">
        <v>91</v>
      </c>
      <c r="T48" t="s">
        <v>242</v>
      </c>
      <c r="U48" t="s">
        <v>109</v>
      </c>
      <c r="V48">
        <v>22180</v>
      </c>
      <c r="W48">
        <v>42</v>
      </c>
      <c r="X48">
        <v>2</v>
      </c>
      <c r="Y48">
        <v>20</v>
      </c>
      <c r="Z48">
        <f>VLOOKUP(Table1[[#This Row],[current_mood]],lookup_tables!$A$2:$B$6,2,FALSE)</f>
        <v>70</v>
      </c>
    </row>
    <row r="49" spans="1:26">
      <c r="A49">
        <v>48</v>
      </c>
      <c r="B49" t="s">
        <v>168</v>
      </c>
      <c r="C49">
        <v>12</v>
      </c>
      <c r="D49" t="s">
        <v>232</v>
      </c>
      <c r="E49" t="s">
        <v>233</v>
      </c>
      <c r="F49" t="s">
        <v>256</v>
      </c>
      <c r="G49" t="s">
        <v>141</v>
      </c>
      <c r="H49" t="s">
        <v>30</v>
      </c>
      <c r="I49">
        <v>24.6</v>
      </c>
      <c r="J49">
        <v>9.66</v>
      </c>
      <c r="K49" t="s">
        <v>258</v>
      </c>
      <c r="L49">
        <v>12586</v>
      </c>
      <c r="M49">
        <v>20</v>
      </c>
      <c r="N49">
        <v>84</v>
      </c>
      <c r="O49" t="s">
        <v>97</v>
      </c>
      <c r="P49">
        <v>3</v>
      </c>
      <c r="Q49" t="s">
        <v>250</v>
      </c>
      <c r="R49" t="s">
        <v>105</v>
      </c>
      <c r="S49">
        <v>73</v>
      </c>
      <c r="T49" t="s">
        <v>247</v>
      </c>
      <c r="U49" t="s">
        <v>112</v>
      </c>
      <c r="V49">
        <v>31342</v>
      </c>
      <c r="W49">
        <v>52</v>
      </c>
      <c r="X49">
        <v>25</v>
      </c>
      <c r="Y49">
        <v>70</v>
      </c>
      <c r="Z49">
        <f>VLOOKUP(Table1[[#This Row],[current_mood]],lookup_tables!$A$2:$B$6,2,FALSE)</f>
        <v>90</v>
      </c>
    </row>
    <row r="50" spans="1:26">
      <c r="A50">
        <v>49</v>
      </c>
      <c r="B50" t="s">
        <v>169</v>
      </c>
      <c r="C50">
        <v>13</v>
      </c>
      <c r="D50" t="s">
        <v>253</v>
      </c>
      <c r="E50" t="s">
        <v>238</v>
      </c>
      <c r="F50" t="s">
        <v>239</v>
      </c>
      <c r="G50" t="s">
        <v>145</v>
      </c>
      <c r="H50" t="s">
        <v>67</v>
      </c>
      <c r="I50">
        <v>28.77</v>
      </c>
      <c r="J50">
        <v>11.64</v>
      </c>
      <c r="K50" t="s">
        <v>240</v>
      </c>
      <c r="L50">
        <v>7218</v>
      </c>
      <c r="M50">
        <v>83</v>
      </c>
      <c r="N50">
        <v>127</v>
      </c>
      <c r="O50" t="s">
        <v>97</v>
      </c>
      <c r="P50">
        <v>12</v>
      </c>
      <c r="Q50" t="s">
        <v>268</v>
      </c>
      <c r="R50" t="s">
        <v>105</v>
      </c>
      <c r="S50">
        <v>49</v>
      </c>
      <c r="T50" t="s">
        <v>247</v>
      </c>
      <c r="U50" t="s">
        <v>109</v>
      </c>
      <c r="V50">
        <v>87972</v>
      </c>
      <c r="W50">
        <v>26</v>
      </c>
      <c r="X50">
        <v>79</v>
      </c>
      <c r="Y50">
        <v>97</v>
      </c>
      <c r="Z50">
        <f>VLOOKUP(Table1[[#This Row],[current_mood]],lookup_tables!$A$2:$B$6,2,FALSE)</f>
        <v>90</v>
      </c>
    </row>
    <row r="51" spans="1:26">
      <c r="A51">
        <v>50</v>
      </c>
      <c r="B51" t="s">
        <v>170</v>
      </c>
      <c r="C51">
        <v>13</v>
      </c>
      <c r="D51" t="s">
        <v>232</v>
      </c>
      <c r="E51" t="s">
        <v>248</v>
      </c>
      <c r="F51" t="s">
        <v>234</v>
      </c>
      <c r="G51" t="s">
        <v>100</v>
      </c>
      <c r="H51" t="s">
        <v>67</v>
      </c>
      <c r="I51">
        <v>10.36</v>
      </c>
      <c r="J51">
        <v>5.57</v>
      </c>
      <c r="K51" t="s">
        <v>235</v>
      </c>
      <c r="L51">
        <v>10984</v>
      </c>
      <c r="M51">
        <v>47</v>
      </c>
      <c r="N51">
        <v>118</v>
      </c>
      <c r="O51" t="s">
        <v>87</v>
      </c>
      <c r="P51">
        <v>10</v>
      </c>
      <c r="Q51" t="s">
        <v>273</v>
      </c>
      <c r="R51" t="s">
        <v>45</v>
      </c>
      <c r="S51">
        <v>75</v>
      </c>
      <c r="T51" t="s">
        <v>237</v>
      </c>
      <c r="U51" t="s">
        <v>57</v>
      </c>
      <c r="V51">
        <v>95007</v>
      </c>
      <c r="W51">
        <v>35</v>
      </c>
      <c r="X51">
        <v>61</v>
      </c>
      <c r="Y51">
        <v>64</v>
      </c>
      <c r="Z51">
        <f>VLOOKUP(Table1[[#This Row],[current_mood]],lookup_tables!$A$2:$B$6,2,FALSE)</f>
        <v>55</v>
      </c>
    </row>
    <row r="52" spans="1:26">
      <c r="A52">
        <v>51</v>
      </c>
      <c r="B52" t="s">
        <v>171</v>
      </c>
      <c r="C52">
        <v>13</v>
      </c>
      <c r="D52" t="s">
        <v>253</v>
      </c>
      <c r="E52" t="s">
        <v>243</v>
      </c>
      <c r="F52" t="s">
        <v>251</v>
      </c>
      <c r="G52" t="s">
        <v>40</v>
      </c>
      <c r="H52" t="s">
        <v>30</v>
      </c>
      <c r="I52">
        <v>32.85</v>
      </c>
      <c r="J52">
        <v>24.31</v>
      </c>
      <c r="K52" t="s">
        <v>271</v>
      </c>
      <c r="L52">
        <v>14927</v>
      </c>
      <c r="M52">
        <v>119</v>
      </c>
      <c r="N52">
        <v>102</v>
      </c>
      <c r="O52" t="s">
        <v>53</v>
      </c>
      <c r="P52">
        <v>0</v>
      </c>
      <c r="Q52" t="s">
        <v>265</v>
      </c>
      <c r="R52" t="s">
        <v>34</v>
      </c>
      <c r="S52">
        <v>32</v>
      </c>
      <c r="T52" t="s">
        <v>242</v>
      </c>
      <c r="U52" t="s">
        <v>128</v>
      </c>
      <c r="V52">
        <v>12950</v>
      </c>
      <c r="W52">
        <v>36</v>
      </c>
      <c r="X52">
        <v>48</v>
      </c>
      <c r="Y52">
        <v>12</v>
      </c>
      <c r="Z52">
        <f>VLOOKUP(Table1[[#This Row],[current_mood]],lookup_tables!$A$2:$B$6,2,FALSE)</f>
        <v>70</v>
      </c>
    </row>
    <row r="53" spans="1:26">
      <c r="A53">
        <v>52</v>
      </c>
      <c r="B53" t="s">
        <v>172</v>
      </c>
      <c r="C53">
        <v>7</v>
      </c>
      <c r="D53" t="s">
        <v>232</v>
      </c>
      <c r="E53" t="s">
        <v>243</v>
      </c>
      <c r="F53" t="s">
        <v>249</v>
      </c>
      <c r="G53" t="s">
        <v>86</v>
      </c>
      <c r="H53" t="s">
        <v>30</v>
      </c>
      <c r="I53">
        <v>29.78</v>
      </c>
      <c r="J53">
        <v>20.88</v>
      </c>
      <c r="K53" t="s">
        <v>240</v>
      </c>
      <c r="L53">
        <v>2824</v>
      </c>
      <c r="M53">
        <v>88</v>
      </c>
      <c r="N53">
        <v>110</v>
      </c>
      <c r="O53" t="s">
        <v>97</v>
      </c>
      <c r="P53">
        <v>2</v>
      </c>
      <c r="Q53" t="s">
        <v>268</v>
      </c>
      <c r="R53" t="s">
        <v>45</v>
      </c>
      <c r="S53">
        <v>3</v>
      </c>
      <c r="T53" t="s">
        <v>237</v>
      </c>
      <c r="U53" t="s">
        <v>173</v>
      </c>
      <c r="V53">
        <v>8464</v>
      </c>
      <c r="W53">
        <v>81</v>
      </c>
      <c r="X53">
        <v>77</v>
      </c>
      <c r="Y53">
        <v>80</v>
      </c>
      <c r="Z53">
        <f>VLOOKUP(Table1[[#This Row],[current_mood]],lookup_tables!$A$2:$B$6,2,FALSE)</f>
        <v>90</v>
      </c>
    </row>
    <row r="54" spans="1:26">
      <c r="A54">
        <v>53</v>
      </c>
      <c r="B54" t="s">
        <v>174</v>
      </c>
      <c r="C54">
        <v>17</v>
      </c>
      <c r="D54" t="s">
        <v>253</v>
      </c>
      <c r="E54" t="s">
        <v>233</v>
      </c>
      <c r="F54" t="s">
        <v>239</v>
      </c>
      <c r="G54" t="s">
        <v>100</v>
      </c>
      <c r="H54" t="s">
        <v>93</v>
      </c>
      <c r="I54">
        <v>20.22</v>
      </c>
      <c r="J54">
        <v>11.11</v>
      </c>
      <c r="K54" t="s">
        <v>235</v>
      </c>
      <c r="L54">
        <v>10464</v>
      </c>
      <c r="M54">
        <v>91</v>
      </c>
      <c r="N54">
        <v>90</v>
      </c>
      <c r="O54" t="s">
        <v>97</v>
      </c>
      <c r="P54">
        <v>4</v>
      </c>
      <c r="Q54" t="s">
        <v>274</v>
      </c>
      <c r="R54" t="s">
        <v>55</v>
      </c>
      <c r="S54">
        <v>11</v>
      </c>
      <c r="T54" t="s">
        <v>242</v>
      </c>
      <c r="U54" t="s">
        <v>106</v>
      </c>
      <c r="V54">
        <v>14836</v>
      </c>
      <c r="W54">
        <v>25</v>
      </c>
      <c r="X54">
        <v>90</v>
      </c>
      <c r="Y54">
        <v>59</v>
      </c>
      <c r="Z54">
        <f>VLOOKUP(Table1[[#This Row],[current_mood]],lookup_tables!$A$2:$B$6,2,FALSE)</f>
        <v>90</v>
      </c>
    </row>
    <row r="55" spans="1:26">
      <c r="A55">
        <v>54</v>
      </c>
      <c r="B55" t="s">
        <v>175</v>
      </c>
      <c r="C55">
        <v>14</v>
      </c>
      <c r="D55" t="s">
        <v>232</v>
      </c>
      <c r="E55" t="s">
        <v>248</v>
      </c>
      <c r="F55" t="s">
        <v>234</v>
      </c>
      <c r="G55" t="s">
        <v>61</v>
      </c>
      <c r="H55" t="s">
        <v>93</v>
      </c>
      <c r="I55">
        <v>44.4</v>
      </c>
      <c r="J55">
        <v>12.64</v>
      </c>
      <c r="K55" t="s">
        <v>282</v>
      </c>
      <c r="L55">
        <v>5982</v>
      </c>
      <c r="M55">
        <v>78</v>
      </c>
      <c r="N55">
        <v>95</v>
      </c>
      <c r="O55" t="s">
        <v>32</v>
      </c>
      <c r="P55">
        <v>6</v>
      </c>
      <c r="Q55" t="s">
        <v>257</v>
      </c>
      <c r="R55" t="s">
        <v>45</v>
      </c>
      <c r="S55">
        <v>49</v>
      </c>
      <c r="T55" t="s">
        <v>242</v>
      </c>
      <c r="U55" t="s">
        <v>124</v>
      </c>
      <c r="V55">
        <v>75766</v>
      </c>
      <c r="W55">
        <v>11</v>
      </c>
      <c r="X55">
        <v>71</v>
      </c>
      <c r="Y55">
        <v>68</v>
      </c>
      <c r="Z55">
        <f>VLOOKUP(Table1[[#This Row],[current_mood]],lookup_tables!$A$2:$B$6,2,FALSE)</f>
        <v>30</v>
      </c>
    </row>
    <row r="56" spans="1:26">
      <c r="A56">
        <v>55</v>
      </c>
      <c r="B56" t="s">
        <v>177</v>
      </c>
      <c r="C56">
        <v>16</v>
      </c>
      <c r="D56" t="s">
        <v>253</v>
      </c>
      <c r="E56" t="s">
        <v>248</v>
      </c>
      <c r="F56" t="s">
        <v>256</v>
      </c>
      <c r="G56" t="s">
        <v>72</v>
      </c>
      <c r="H56" t="s">
        <v>67</v>
      </c>
      <c r="I56">
        <v>32.49</v>
      </c>
      <c r="J56">
        <v>19.850000000000001</v>
      </c>
      <c r="K56" t="s">
        <v>271</v>
      </c>
      <c r="L56">
        <v>2278</v>
      </c>
      <c r="M56">
        <v>103</v>
      </c>
      <c r="N56">
        <v>143</v>
      </c>
      <c r="O56" t="s">
        <v>97</v>
      </c>
      <c r="P56">
        <v>4</v>
      </c>
      <c r="Q56" t="s">
        <v>263</v>
      </c>
      <c r="R56" t="s">
        <v>55</v>
      </c>
      <c r="S56">
        <v>5</v>
      </c>
      <c r="T56" t="s">
        <v>247</v>
      </c>
      <c r="U56" t="s">
        <v>158</v>
      </c>
      <c r="V56">
        <v>57773</v>
      </c>
      <c r="W56">
        <v>12</v>
      </c>
      <c r="X56">
        <v>14</v>
      </c>
      <c r="Y56">
        <v>40</v>
      </c>
      <c r="Z56">
        <f>VLOOKUP(Table1[[#This Row],[current_mood]],lookup_tables!$A$2:$B$6,2,FALSE)</f>
        <v>90</v>
      </c>
    </row>
    <row r="57" spans="1:26">
      <c r="A57">
        <v>56</v>
      </c>
      <c r="B57" t="s">
        <v>178</v>
      </c>
      <c r="C57">
        <v>15</v>
      </c>
      <c r="D57" t="s">
        <v>253</v>
      </c>
      <c r="E57" t="s">
        <v>248</v>
      </c>
      <c r="F57" t="s">
        <v>239</v>
      </c>
      <c r="G57" t="s">
        <v>86</v>
      </c>
      <c r="H57" t="s">
        <v>67</v>
      </c>
      <c r="I57">
        <v>30.19</v>
      </c>
      <c r="J57">
        <v>12.78</v>
      </c>
      <c r="K57" t="s">
        <v>271</v>
      </c>
      <c r="L57">
        <v>11286</v>
      </c>
      <c r="M57">
        <v>93</v>
      </c>
      <c r="N57">
        <v>155</v>
      </c>
      <c r="O57" t="s">
        <v>53</v>
      </c>
      <c r="P57">
        <v>4</v>
      </c>
      <c r="Q57" t="s">
        <v>259</v>
      </c>
      <c r="R57" t="s">
        <v>55</v>
      </c>
      <c r="S57">
        <v>80</v>
      </c>
      <c r="T57" t="s">
        <v>237</v>
      </c>
      <c r="U57" t="s">
        <v>179</v>
      </c>
      <c r="V57">
        <v>11150</v>
      </c>
      <c r="W57">
        <v>28</v>
      </c>
      <c r="X57">
        <v>63</v>
      </c>
      <c r="Y57">
        <v>77</v>
      </c>
      <c r="Z57">
        <f>VLOOKUP(Table1[[#This Row],[current_mood]],lookup_tables!$A$2:$B$6,2,FALSE)</f>
        <v>70</v>
      </c>
    </row>
    <row r="58" spans="1:26">
      <c r="A58">
        <v>57</v>
      </c>
      <c r="B58" t="s">
        <v>180</v>
      </c>
      <c r="C58">
        <v>12</v>
      </c>
      <c r="D58" t="s">
        <v>232</v>
      </c>
      <c r="E58" t="s">
        <v>233</v>
      </c>
      <c r="F58" t="s">
        <v>234</v>
      </c>
      <c r="G58" t="s">
        <v>72</v>
      </c>
      <c r="H58" t="s">
        <v>104</v>
      </c>
      <c r="I58">
        <v>17.3</v>
      </c>
      <c r="J58">
        <v>9.98</v>
      </c>
      <c r="K58" t="s">
        <v>254</v>
      </c>
      <c r="L58">
        <v>9031</v>
      </c>
      <c r="M58">
        <v>23</v>
      </c>
      <c r="N58">
        <v>81</v>
      </c>
      <c r="O58" t="s">
        <v>32</v>
      </c>
      <c r="P58">
        <v>8</v>
      </c>
      <c r="Q58" t="s">
        <v>252</v>
      </c>
      <c r="R58" t="s">
        <v>55</v>
      </c>
      <c r="S58">
        <v>99</v>
      </c>
      <c r="T58" t="s">
        <v>237</v>
      </c>
      <c r="U58" t="s">
        <v>270</v>
      </c>
      <c r="V58">
        <v>3005</v>
      </c>
      <c r="W58">
        <v>37</v>
      </c>
      <c r="X58">
        <v>43</v>
      </c>
      <c r="Y58">
        <v>89</v>
      </c>
      <c r="Z58">
        <f>VLOOKUP(Table1[[#This Row],[current_mood]],lookup_tables!$A$2:$B$6,2,FALSE)</f>
        <v>30</v>
      </c>
    </row>
    <row r="59" spans="1:26">
      <c r="A59">
        <v>58</v>
      </c>
      <c r="B59" t="s">
        <v>181</v>
      </c>
      <c r="C59">
        <v>14</v>
      </c>
      <c r="D59" t="s">
        <v>253</v>
      </c>
      <c r="E59" t="s">
        <v>233</v>
      </c>
      <c r="F59" t="s">
        <v>251</v>
      </c>
      <c r="G59" t="s">
        <v>141</v>
      </c>
      <c r="H59" t="s">
        <v>93</v>
      </c>
      <c r="I59">
        <v>28.95</v>
      </c>
      <c r="J59">
        <v>1.42</v>
      </c>
      <c r="K59" t="s">
        <v>235</v>
      </c>
      <c r="L59">
        <v>10974</v>
      </c>
      <c r="M59">
        <v>40</v>
      </c>
      <c r="N59">
        <v>91</v>
      </c>
      <c r="O59" t="s">
        <v>97</v>
      </c>
      <c r="P59">
        <v>10</v>
      </c>
      <c r="Q59" t="s">
        <v>265</v>
      </c>
      <c r="R59" t="s">
        <v>45</v>
      </c>
      <c r="S59">
        <v>2</v>
      </c>
      <c r="T59" t="s">
        <v>242</v>
      </c>
      <c r="U59" t="s">
        <v>179</v>
      </c>
      <c r="V59">
        <v>83778</v>
      </c>
      <c r="W59">
        <v>73</v>
      </c>
      <c r="X59">
        <v>12</v>
      </c>
      <c r="Y59">
        <v>81</v>
      </c>
      <c r="Z59">
        <f>VLOOKUP(Table1[[#This Row],[current_mood]],lookup_tables!$A$2:$B$6,2,FALSE)</f>
        <v>90</v>
      </c>
    </row>
    <row r="60" spans="1:26">
      <c r="A60">
        <v>59</v>
      </c>
      <c r="B60" t="s">
        <v>182</v>
      </c>
      <c r="C60">
        <v>9</v>
      </c>
      <c r="D60" t="s">
        <v>253</v>
      </c>
      <c r="E60" t="s">
        <v>248</v>
      </c>
      <c r="F60" t="s">
        <v>239</v>
      </c>
      <c r="G60" t="s">
        <v>100</v>
      </c>
      <c r="H60" t="s">
        <v>30</v>
      </c>
      <c r="I60">
        <v>27.02</v>
      </c>
      <c r="J60">
        <v>20.059999999999999</v>
      </c>
      <c r="K60" t="s">
        <v>271</v>
      </c>
      <c r="L60">
        <v>2181</v>
      </c>
      <c r="M60">
        <v>91</v>
      </c>
      <c r="N60">
        <v>146</v>
      </c>
      <c r="O60" t="s">
        <v>43</v>
      </c>
      <c r="P60">
        <v>4</v>
      </c>
      <c r="Q60" t="s">
        <v>250</v>
      </c>
      <c r="R60" t="s">
        <v>105</v>
      </c>
      <c r="S60">
        <v>68</v>
      </c>
      <c r="T60" t="s">
        <v>237</v>
      </c>
      <c r="U60" t="s">
        <v>179</v>
      </c>
      <c r="V60">
        <v>15495</v>
      </c>
      <c r="W60">
        <v>72</v>
      </c>
      <c r="X60">
        <v>3</v>
      </c>
      <c r="Y60">
        <v>46</v>
      </c>
      <c r="Z60">
        <f>VLOOKUP(Table1[[#This Row],[current_mood]],lookup_tables!$A$2:$B$6,2,FALSE)</f>
        <v>45</v>
      </c>
    </row>
    <row r="61" spans="1:26">
      <c r="A61">
        <v>60</v>
      </c>
      <c r="B61" t="s">
        <v>183</v>
      </c>
      <c r="C61">
        <v>4</v>
      </c>
      <c r="D61" t="s">
        <v>283</v>
      </c>
      <c r="E61" t="s">
        <v>238</v>
      </c>
      <c r="F61" t="s">
        <v>249</v>
      </c>
      <c r="G61" t="s">
        <v>51</v>
      </c>
      <c r="H61" t="s">
        <v>104</v>
      </c>
      <c r="I61">
        <v>32.76</v>
      </c>
      <c r="J61">
        <v>3.11</v>
      </c>
      <c r="K61" t="s">
        <v>254</v>
      </c>
      <c r="L61">
        <v>10715</v>
      </c>
      <c r="M61">
        <v>112</v>
      </c>
      <c r="N61">
        <v>141</v>
      </c>
      <c r="O61" t="s">
        <v>53</v>
      </c>
      <c r="P61">
        <v>7</v>
      </c>
      <c r="Q61" t="s">
        <v>250</v>
      </c>
      <c r="R61" t="s">
        <v>34</v>
      </c>
      <c r="S61">
        <v>65</v>
      </c>
      <c r="T61" t="s">
        <v>247</v>
      </c>
      <c r="U61" t="s">
        <v>89</v>
      </c>
      <c r="V61">
        <v>42118</v>
      </c>
      <c r="W61">
        <v>42</v>
      </c>
      <c r="X61">
        <v>72</v>
      </c>
      <c r="Y61">
        <v>87</v>
      </c>
      <c r="Z61">
        <f>VLOOKUP(Table1[[#This Row],[current_mood]],lookup_tables!$A$2:$B$6,2,FALSE)</f>
        <v>70</v>
      </c>
    </row>
    <row r="62" spans="1:26">
      <c r="A62">
        <v>61</v>
      </c>
      <c r="B62" t="s">
        <v>185</v>
      </c>
      <c r="C62">
        <v>2</v>
      </c>
      <c r="D62" t="s">
        <v>283</v>
      </c>
      <c r="E62" t="s">
        <v>238</v>
      </c>
      <c r="F62" t="s">
        <v>234</v>
      </c>
      <c r="G62" t="s">
        <v>145</v>
      </c>
      <c r="H62" t="s">
        <v>67</v>
      </c>
      <c r="I62">
        <v>24.22</v>
      </c>
      <c r="J62">
        <v>8.8000000000000007</v>
      </c>
      <c r="K62" t="s">
        <v>266</v>
      </c>
      <c r="L62">
        <v>6856</v>
      </c>
      <c r="M62">
        <v>84</v>
      </c>
      <c r="N62">
        <v>124</v>
      </c>
      <c r="O62" t="s">
        <v>43</v>
      </c>
      <c r="P62">
        <v>12</v>
      </c>
      <c r="Q62" t="s">
        <v>257</v>
      </c>
      <c r="R62" t="s">
        <v>45</v>
      </c>
      <c r="S62">
        <v>41</v>
      </c>
      <c r="T62" t="s">
        <v>237</v>
      </c>
      <c r="U62" t="s">
        <v>106</v>
      </c>
      <c r="V62">
        <v>71180</v>
      </c>
      <c r="W62">
        <v>55</v>
      </c>
      <c r="X62">
        <v>45</v>
      </c>
      <c r="Y62">
        <v>45</v>
      </c>
      <c r="Z62">
        <f>VLOOKUP(Table1[[#This Row],[current_mood]],lookup_tables!$A$2:$B$6,2,FALSE)</f>
        <v>45</v>
      </c>
    </row>
    <row r="63" spans="1:26">
      <c r="A63">
        <v>62</v>
      </c>
      <c r="B63" t="s">
        <v>186</v>
      </c>
      <c r="C63">
        <v>11</v>
      </c>
      <c r="D63" t="s">
        <v>232</v>
      </c>
      <c r="E63" t="s">
        <v>238</v>
      </c>
      <c r="F63" t="s">
        <v>261</v>
      </c>
      <c r="G63" t="s">
        <v>72</v>
      </c>
      <c r="H63" t="s">
        <v>67</v>
      </c>
      <c r="I63">
        <v>15.38</v>
      </c>
      <c r="J63">
        <v>22.41</v>
      </c>
      <c r="K63" t="s">
        <v>240</v>
      </c>
      <c r="L63">
        <v>3427</v>
      </c>
      <c r="M63">
        <v>110</v>
      </c>
      <c r="N63">
        <v>95</v>
      </c>
      <c r="O63" t="s">
        <v>53</v>
      </c>
      <c r="P63">
        <v>2</v>
      </c>
      <c r="Q63" t="s">
        <v>263</v>
      </c>
      <c r="R63" t="s">
        <v>55</v>
      </c>
      <c r="S63">
        <v>86</v>
      </c>
      <c r="T63" t="s">
        <v>242</v>
      </c>
      <c r="U63" t="s">
        <v>98</v>
      </c>
      <c r="V63">
        <v>71307</v>
      </c>
      <c r="W63">
        <v>99</v>
      </c>
      <c r="X63">
        <v>38</v>
      </c>
      <c r="Y63">
        <v>63</v>
      </c>
      <c r="Z63">
        <f>VLOOKUP(Table1[[#This Row],[current_mood]],lookup_tables!$A$2:$B$6,2,FALSE)</f>
        <v>70</v>
      </c>
    </row>
    <row r="64" spans="1:26">
      <c r="A64">
        <v>63</v>
      </c>
      <c r="B64" t="s">
        <v>187</v>
      </c>
      <c r="C64">
        <v>12</v>
      </c>
      <c r="D64" t="s">
        <v>253</v>
      </c>
      <c r="E64" t="s">
        <v>233</v>
      </c>
      <c r="F64" t="s">
        <v>239</v>
      </c>
      <c r="G64" t="s">
        <v>126</v>
      </c>
      <c r="H64" t="s">
        <v>41</v>
      </c>
      <c r="I64">
        <v>37.04</v>
      </c>
      <c r="J64">
        <v>4.1900000000000004</v>
      </c>
      <c r="K64" t="s">
        <v>254</v>
      </c>
      <c r="L64">
        <v>9164</v>
      </c>
      <c r="M64">
        <v>50</v>
      </c>
      <c r="N64">
        <v>125</v>
      </c>
      <c r="O64" t="s">
        <v>87</v>
      </c>
      <c r="P64">
        <v>7</v>
      </c>
      <c r="Q64" t="s">
        <v>252</v>
      </c>
      <c r="R64" t="s">
        <v>34</v>
      </c>
      <c r="S64">
        <v>71</v>
      </c>
      <c r="T64" t="s">
        <v>247</v>
      </c>
      <c r="U64" t="s">
        <v>36</v>
      </c>
      <c r="V64">
        <v>21938</v>
      </c>
      <c r="W64">
        <v>89</v>
      </c>
      <c r="X64">
        <v>70</v>
      </c>
      <c r="Y64">
        <v>54</v>
      </c>
      <c r="Z64">
        <f>VLOOKUP(Table1[[#This Row],[current_mood]],lookup_tables!$A$2:$B$6,2,FALSE)</f>
        <v>55</v>
      </c>
    </row>
    <row r="65" spans="1:26">
      <c r="A65">
        <v>64</v>
      </c>
      <c r="B65" t="s">
        <v>188</v>
      </c>
      <c r="C65">
        <v>17</v>
      </c>
      <c r="D65" t="s">
        <v>253</v>
      </c>
      <c r="E65" t="s">
        <v>233</v>
      </c>
      <c r="F65" t="s">
        <v>256</v>
      </c>
      <c r="G65" t="s">
        <v>80</v>
      </c>
      <c r="H65" t="s">
        <v>41</v>
      </c>
      <c r="I65">
        <v>11.85</v>
      </c>
      <c r="J65">
        <v>10.56</v>
      </c>
      <c r="K65" t="s">
        <v>235</v>
      </c>
      <c r="L65">
        <v>8781</v>
      </c>
      <c r="M65">
        <v>37</v>
      </c>
      <c r="N65">
        <v>128</v>
      </c>
      <c r="O65" t="s">
        <v>32</v>
      </c>
      <c r="P65">
        <v>12</v>
      </c>
      <c r="Q65" t="s">
        <v>275</v>
      </c>
      <c r="R65" t="s">
        <v>105</v>
      </c>
      <c r="S65">
        <v>79</v>
      </c>
      <c r="T65" t="s">
        <v>247</v>
      </c>
      <c r="U65" t="s">
        <v>57</v>
      </c>
      <c r="V65">
        <v>65080</v>
      </c>
      <c r="W65">
        <v>22</v>
      </c>
      <c r="X65">
        <v>90</v>
      </c>
      <c r="Y65">
        <v>48</v>
      </c>
      <c r="Z65">
        <f>VLOOKUP(Table1[[#This Row],[current_mood]],lookup_tables!$A$2:$B$6,2,FALSE)</f>
        <v>30</v>
      </c>
    </row>
    <row r="66" spans="1:26">
      <c r="A66">
        <v>65</v>
      </c>
      <c r="B66" t="s">
        <v>189</v>
      </c>
      <c r="C66">
        <v>6</v>
      </c>
      <c r="D66" t="s">
        <v>253</v>
      </c>
      <c r="E66" t="s">
        <v>243</v>
      </c>
      <c r="F66" t="s">
        <v>234</v>
      </c>
      <c r="G66" t="s">
        <v>80</v>
      </c>
      <c r="H66" t="s">
        <v>93</v>
      </c>
      <c r="I66">
        <v>42.35</v>
      </c>
      <c r="J66">
        <v>11.38</v>
      </c>
      <c r="K66" t="s">
        <v>271</v>
      </c>
      <c r="L66">
        <v>1649</v>
      </c>
      <c r="M66">
        <v>73</v>
      </c>
      <c r="N66">
        <v>127</v>
      </c>
      <c r="O66" t="s">
        <v>32</v>
      </c>
      <c r="P66">
        <v>7</v>
      </c>
      <c r="Q66" t="s">
        <v>274</v>
      </c>
      <c r="R66" t="s">
        <v>34</v>
      </c>
      <c r="S66">
        <v>28</v>
      </c>
      <c r="T66" t="s">
        <v>237</v>
      </c>
      <c r="U66" t="s">
        <v>106</v>
      </c>
      <c r="V66">
        <v>87218</v>
      </c>
      <c r="W66">
        <v>12</v>
      </c>
      <c r="X66">
        <v>23</v>
      </c>
      <c r="Y66">
        <v>84</v>
      </c>
      <c r="Z66">
        <f>VLOOKUP(Table1[[#This Row],[current_mood]],lookup_tables!$A$2:$B$6,2,FALSE)</f>
        <v>30</v>
      </c>
    </row>
    <row r="67" spans="1:26">
      <c r="A67">
        <v>66</v>
      </c>
      <c r="B67" t="s">
        <v>190</v>
      </c>
      <c r="C67">
        <v>18</v>
      </c>
      <c r="D67" t="s">
        <v>232</v>
      </c>
      <c r="E67" t="s">
        <v>238</v>
      </c>
      <c r="F67" t="s">
        <v>239</v>
      </c>
      <c r="G67" t="s">
        <v>40</v>
      </c>
      <c r="H67" t="s">
        <v>104</v>
      </c>
      <c r="I67">
        <v>17.48</v>
      </c>
      <c r="J67">
        <v>19.41</v>
      </c>
      <c r="K67" t="s">
        <v>254</v>
      </c>
      <c r="L67">
        <v>6387</v>
      </c>
      <c r="M67">
        <v>45</v>
      </c>
      <c r="N67">
        <v>63</v>
      </c>
      <c r="O67" t="s">
        <v>53</v>
      </c>
      <c r="P67">
        <v>0</v>
      </c>
      <c r="Q67" t="s">
        <v>236</v>
      </c>
      <c r="R67" t="s">
        <v>34</v>
      </c>
      <c r="S67">
        <v>10</v>
      </c>
      <c r="T67" t="s">
        <v>237</v>
      </c>
      <c r="U67" t="s">
        <v>69</v>
      </c>
      <c r="V67">
        <v>98100</v>
      </c>
      <c r="W67">
        <v>8</v>
      </c>
      <c r="X67">
        <v>95</v>
      </c>
      <c r="Y67">
        <v>27</v>
      </c>
      <c r="Z67">
        <f>VLOOKUP(Table1[[#This Row],[current_mood]],lookup_tables!$A$2:$B$6,2,FALSE)</f>
        <v>70</v>
      </c>
    </row>
    <row r="68" spans="1:26">
      <c r="A68">
        <v>67</v>
      </c>
      <c r="B68" t="s">
        <v>191</v>
      </c>
      <c r="C68">
        <v>14</v>
      </c>
      <c r="D68" t="s">
        <v>232</v>
      </c>
      <c r="E68" t="s">
        <v>238</v>
      </c>
      <c r="F68" t="s">
        <v>251</v>
      </c>
      <c r="G68" t="s">
        <v>86</v>
      </c>
      <c r="H68" t="s">
        <v>104</v>
      </c>
      <c r="I68">
        <v>18.600000000000001</v>
      </c>
      <c r="J68">
        <v>4.2</v>
      </c>
      <c r="K68" t="s">
        <v>254</v>
      </c>
      <c r="L68">
        <v>1737</v>
      </c>
      <c r="M68">
        <v>74</v>
      </c>
      <c r="N68">
        <v>125</v>
      </c>
      <c r="O68" t="s">
        <v>87</v>
      </c>
      <c r="P68">
        <v>1</v>
      </c>
      <c r="Q68" t="s">
        <v>272</v>
      </c>
      <c r="R68" t="s">
        <v>34</v>
      </c>
      <c r="S68">
        <v>17</v>
      </c>
      <c r="T68" t="s">
        <v>237</v>
      </c>
      <c r="U68" t="s">
        <v>179</v>
      </c>
      <c r="V68">
        <v>52956</v>
      </c>
      <c r="W68">
        <v>74</v>
      </c>
      <c r="X68">
        <v>42</v>
      </c>
      <c r="Y68">
        <v>17</v>
      </c>
      <c r="Z68">
        <f>VLOOKUP(Table1[[#This Row],[current_mood]],lookup_tables!$A$2:$B$6,2,FALSE)</f>
        <v>55</v>
      </c>
    </row>
    <row r="69" spans="1:26">
      <c r="A69">
        <v>68</v>
      </c>
      <c r="B69" t="s">
        <v>192</v>
      </c>
      <c r="C69">
        <v>17</v>
      </c>
      <c r="D69" t="s">
        <v>276</v>
      </c>
      <c r="E69" t="s">
        <v>243</v>
      </c>
      <c r="F69" t="s">
        <v>234</v>
      </c>
      <c r="G69" t="s">
        <v>126</v>
      </c>
      <c r="H69" t="s">
        <v>93</v>
      </c>
      <c r="I69">
        <v>18.73</v>
      </c>
      <c r="J69">
        <v>16.13</v>
      </c>
      <c r="K69" t="s">
        <v>235</v>
      </c>
      <c r="L69">
        <v>5827</v>
      </c>
      <c r="M69">
        <v>55</v>
      </c>
      <c r="N69">
        <v>92</v>
      </c>
      <c r="O69" t="s">
        <v>53</v>
      </c>
      <c r="P69">
        <v>9</v>
      </c>
      <c r="Q69" t="s">
        <v>263</v>
      </c>
      <c r="R69" t="s">
        <v>34</v>
      </c>
      <c r="S69">
        <v>32</v>
      </c>
      <c r="T69" t="s">
        <v>242</v>
      </c>
      <c r="U69" t="s">
        <v>260</v>
      </c>
      <c r="V69">
        <v>77121</v>
      </c>
      <c r="W69">
        <v>76</v>
      </c>
      <c r="X69">
        <v>56</v>
      </c>
      <c r="Y69">
        <v>41</v>
      </c>
      <c r="Z69">
        <f>VLOOKUP(Table1[[#This Row],[current_mood]],lookup_tables!$A$2:$B$6,2,FALSE)</f>
        <v>70</v>
      </c>
    </row>
    <row r="70" spans="1:26">
      <c r="A70">
        <v>69</v>
      </c>
      <c r="B70" t="s">
        <v>193</v>
      </c>
      <c r="C70">
        <v>8</v>
      </c>
      <c r="D70" t="s">
        <v>232</v>
      </c>
      <c r="E70" t="s">
        <v>233</v>
      </c>
      <c r="F70" t="s">
        <v>249</v>
      </c>
      <c r="G70" t="s">
        <v>66</v>
      </c>
      <c r="H70" t="s">
        <v>41</v>
      </c>
      <c r="I70">
        <v>13.11</v>
      </c>
      <c r="J70">
        <v>10.28</v>
      </c>
      <c r="K70" t="s">
        <v>235</v>
      </c>
      <c r="L70">
        <v>8026</v>
      </c>
      <c r="M70">
        <v>102</v>
      </c>
      <c r="N70">
        <v>62</v>
      </c>
      <c r="O70" t="s">
        <v>97</v>
      </c>
      <c r="P70">
        <v>1</v>
      </c>
      <c r="Q70" t="s">
        <v>262</v>
      </c>
      <c r="R70" t="s">
        <v>34</v>
      </c>
      <c r="S70">
        <v>72</v>
      </c>
      <c r="T70" t="s">
        <v>247</v>
      </c>
      <c r="U70" t="s">
        <v>281</v>
      </c>
      <c r="V70">
        <v>72813</v>
      </c>
      <c r="W70">
        <v>46</v>
      </c>
      <c r="X70">
        <v>33</v>
      </c>
      <c r="Y70">
        <v>40</v>
      </c>
      <c r="Z70">
        <f>VLOOKUP(Table1[[#This Row],[current_mood]],lookup_tables!$A$2:$B$6,2,FALSE)</f>
        <v>90</v>
      </c>
    </row>
    <row r="71" spans="1:26">
      <c r="A71">
        <v>70</v>
      </c>
      <c r="B71" t="s">
        <v>76</v>
      </c>
      <c r="C71">
        <v>15</v>
      </c>
      <c r="D71" t="s">
        <v>276</v>
      </c>
      <c r="E71" t="s">
        <v>233</v>
      </c>
      <c r="F71" t="s">
        <v>239</v>
      </c>
      <c r="G71" t="s">
        <v>29</v>
      </c>
      <c r="H71" t="s">
        <v>67</v>
      </c>
      <c r="I71">
        <v>27.54</v>
      </c>
      <c r="J71">
        <v>10.67</v>
      </c>
      <c r="K71" t="s">
        <v>254</v>
      </c>
      <c r="L71">
        <v>11219</v>
      </c>
      <c r="M71">
        <v>111</v>
      </c>
      <c r="N71">
        <v>118</v>
      </c>
      <c r="O71" t="s">
        <v>43</v>
      </c>
      <c r="P71">
        <v>10</v>
      </c>
      <c r="Q71" t="s">
        <v>257</v>
      </c>
      <c r="R71" t="s">
        <v>34</v>
      </c>
      <c r="S71">
        <v>32</v>
      </c>
      <c r="T71" t="s">
        <v>237</v>
      </c>
      <c r="U71" t="s">
        <v>138</v>
      </c>
      <c r="V71">
        <v>51268</v>
      </c>
      <c r="W71">
        <v>44</v>
      </c>
      <c r="X71">
        <v>19</v>
      </c>
      <c r="Y71">
        <v>73</v>
      </c>
      <c r="Z71">
        <f>VLOOKUP(Table1[[#This Row],[current_mood]],lookup_tables!$A$2:$B$6,2,FALSE)</f>
        <v>45</v>
      </c>
    </row>
    <row r="72" spans="1:26">
      <c r="A72">
        <v>71</v>
      </c>
      <c r="B72" t="s">
        <v>194</v>
      </c>
      <c r="C72">
        <v>15</v>
      </c>
      <c r="D72" t="s">
        <v>253</v>
      </c>
      <c r="E72" t="s">
        <v>238</v>
      </c>
      <c r="F72" t="s">
        <v>234</v>
      </c>
      <c r="G72" t="s">
        <v>145</v>
      </c>
      <c r="H72" t="s">
        <v>104</v>
      </c>
      <c r="I72">
        <v>19.72</v>
      </c>
      <c r="J72">
        <v>17.68</v>
      </c>
      <c r="K72" t="s">
        <v>235</v>
      </c>
      <c r="L72">
        <v>6261</v>
      </c>
      <c r="M72">
        <v>20</v>
      </c>
      <c r="N72">
        <v>128</v>
      </c>
      <c r="O72" t="s">
        <v>43</v>
      </c>
      <c r="P72">
        <v>5</v>
      </c>
      <c r="Q72" t="s">
        <v>273</v>
      </c>
      <c r="R72" t="s">
        <v>55</v>
      </c>
      <c r="S72">
        <v>50</v>
      </c>
      <c r="T72" t="s">
        <v>242</v>
      </c>
      <c r="U72" t="s">
        <v>179</v>
      </c>
      <c r="V72">
        <v>76578</v>
      </c>
      <c r="W72">
        <v>99</v>
      </c>
      <c r="X72">
        <v>11</v>
      </c>
      <c r="Y72">
        <v>78</v>
      </c>
      <c r="Z72">
        <f>VLOOKUP(Table1[[#This Row],[current_mood]],lookup_tables!$A$2:$B$6,2,FALSE)</f>
        <v>45</v>
      </c>
    </row>
    <row r="73" spans="1:26">
      <c r="A73">
        <v>72</v>
      </c>
      <c r="B73" t="s">
        <v>195</v>
      </c>
      <c r="C73">
        <v>4</v>
      </c>
      <c r="D73" t="s">
        <v>232</v>
      </c>
      <c r="E73" t="s">
        <v>233</v>
      </c>
      <c r="F73" t="s">
        <v>244</v>
      </c>
      <c r="G73" t="s">
        <v>141</v>
      </c>
      <c r="H73" t="s">
        <v>104</v>
      </c>
      <c r="I73">
        <v>12.55</v>
      </c>
      <c r="J73">
        <v>18.239999999999998</v>
      </c>
      <c r="K73" t="s">
        <v>254</v>
      </c>
      <c r="L73">
        <v>13099</v>
      </c>
      <c r="M73">
        <v>98</v>
      </c>
      <c r="N73">
        <v>138</v>
      </c>
      <c r="O73" t="s">
        <v>43</v>
      </c>
      <c r="P73">
        <v>3</v>
      </c>
      <c r="Q73" t="s">
        <v>273</v>
      </c>
      <c r="R73" t="s">
        <v>45</v>
      </c>
      <c r="S73">
        <v>19</v>
      </c>
      <c r="T73" t="s">
        <v>242</v>
      </c>
      <c r="U73" t="s">
        <v>196</v>
      </c>
      <c r="V73">
        <v>46654</v>
      </c>
      <c r="W73">
        <v>82</v>
      </c>
      <c r="X73">
        <v>97</v>
      </c>
      <c r="Y73">
        <v>38</v>
      </c>
      <c r="Z73">
        <f>VLOOKUP(Table1[[#This Row],[current_mood]],lookup_tables!$A$2:$B$6,2,FALSE)</f>
        <v>45</v>
      </c>
    </row>
    <row r="74" spans="1:26">
      <c r="A74">
        <v>73</v>
      </c>
      <c r="B74" t="s">
        <v>197</v>
      </c>
      <c r="C74">
        <v>16</v>
      </c>
      <c r="D74" t="s">
        <v>253</v>
      </c>
      <c r="E74" t="s">
        <v>248</v>
      </c>
      <c r="F74" t="s">
        <v>251</v>
      </c>
      <c r="G74" t="s">
        <v>61</v>
      </c>
      <c r="H74" t="s">
        <v>104</v>
      </c>
      <c r="I74">
        <v>16.670000000000002</v>
      </c>
      <c r="J74">
        <v>7.14</v>
      </c>
      <c r="K74" t="s">
        <v>264</v>
      </c>
      <c r="L74">
        <v>3444</v>
      </c>
      <c r="M74">
        <v>29</v>
      </c>
      <c r="N74">
        <v>158</v>
      </c>
      <c r="O74" t="s">
        <v>97</v>
      </c>
      <c r="P74">
        <v>0</v>
      </c>
      <c r="Q74" t="s">
        <v>255</v>
      </c>
      <c r="R74" t="s">
        <v>105</v>
      </c>
      <c r="S74">
        <v>23</v>
      </c>
      <c r="T74" t="s">
        <v>242</v>
      </c>
      <c r="U74" t="s">
        <v>196</v>
      </c>
      <c r="V74">
        <v>17326</v>
      </c>
      <c r="W74">
        <v>67</v>
      </c>
      <c r="X74">
        <v>72</v>
      </c>
      <c r="Y74">
        <v>18</v>
      </c>
      <c r="Z74">
        <f>VLOOKUP(Table1[[#This Row],[current_mood]],lookup_tables!$A$2:$B$6,2,FALSE)</f>
        <v>90</v>
      </c>
    </row>
    <row r="75" spans="1:26">
      <c r="A75">
        <v>74</v>
      </c>
      <c r="B75" t="s">
        <v>198</v>
      </c>
      <c r="C75">
        <v>1</v>
      </c>
      <c r="D75" t="s">
        <v>232</v>
      </c>
      <c r="E75" t="s">
        <v>233</v>
      </c>
      <c r="F75" t="s">
        <v>234</v>
      </c>
      <c r="G75" t="s">
        <v>29</v>
      </c>
      <c r="H75" t="s">
        <v>30</v>
      </c>
      <c r="I75">
        <v>19.18</v>
      </c>
      <c r="J75">
        <v>5.6</v>
      </c>
      <c r="K75" t="s">
        <v>266</v>
      </c>
      <c r="L75">
        <v>3252</v>
      </c>
      <c r="M75">
        <v>107</v>
      </c>
      <c r="N75">
        <v>66</v>
      </c>
      <c r="O75" t="s">
        <v>43</v>
      </c>
      <c r="P75">
        <v>5</v>
      </c>
      <c r="Q75" t="s">
        <v>265</v>
      </c>
      <c r="R75" t="s">
        <v>34</v>
      </c>
      <c r="S75">
        <v>44</v>
      </c>
      <c r="T75" t="s">
        <v>237</v>
      </c>
      <c r="U75" t="s">
        <v>47</v>
      </c>
      <c r="V75">
        <v>24296</v>
      </c>
      <c r="W75">
        <v>1</v>
      </c>
      <c r="X75">
        <v>15</v>
      </c>
      <c r="Y75">
        <v>43</v>
      </c>
      <c r="Z75">
        <f>VLOOKUP(Table1[[#This Row],[current_mood]],lookup_tables!$A$2:$B$6,2,FALSE)</f>
        <v>45</v>
      </c>
    </row>
    <row r="76" spans="1:26">
      <c r="A76">
        <v>75</v>
      </c>
      <c r="B76" t="s">
        <v>199</v>
      </c>
      <c r="C76">
        <v>16</v>
      </c>
      <c r="D76" t="s">
        <v>253</v>
      </c>
      <c r="E76" t="s">
        <v>233</v>
      </c>
      <c r="F76" t="s">
        <v>239</v>
      </c>
      <c r="G76" t="s">
        <v>141</v>
      </c>
      <c r="H76" t="s">
        <v>30</v>
      </c>
      <c r="I76">
        <v>17.559999999999999</v>
      </c>
      <c r="J76">
        <v>6.95</v>
      </c>
      <c r="K76" t="s">
        <v>235</v>
      </c>
      <c r="L76">
        <v>5135</v>
      </c>
      <c r="M76">
        <v>105</v>
      </c>
      <c r="N76">
        <v>93</v>
      </c>
      <c r="O76" t="s">
        <v>53</v>
      </c>
      <c r="P76">
        <v>11</v>
      </c>
      <c r="Q76" t="s">
        <v>268</v>
      </c>
      <c r="R76" t="s">
        <v>45</v>
      </c>
      <c r="S76">
        <v>37</v>
      </c>
      <c r="T76" t="s">
        <v>247</v>
      </c>
      <c r="U76" t="s">
        <v>57</v>
      </c>
      <c r="V76">
        <v>45449</v>
      </c>
      <c r="W76">
        <v>54</v>
      </c>
      <c r="X76">
        <v>45</v>
      </c>
      <c r="Y76">
        <v>33</v>
      </c>
      <c r="Z76">
        <f>VLOOKUP(Table1[[#This Row],[current_mood]],lookup_tables!$A$2:$B$6,2,FALSE)</f>
        <v>70</v>
      </c>
    </row>
    <row r="77" spans="1:26">
      <c r="A77">
        <v>76</v>
      </c>
      <c r="B77" t="s">
        <v>200</v>
      </c>
      <c r="C77">
        <v>10</v>
      </c>
      <c r="D77" t="s">
        <v>232</v>
      </c>
      <c r="E77" t="s">
        <v>233</v>
      </c>
      <c r="F77" t="s">
        <v>261</v>
      </c>
      <c r="G77" t="s">
        <v>80</v>
      </c>
      <c r="H77" t="s">
        <v>41</v>
      </c>
      <c r="I77">
        <v>37.33</v>
      </c>
      <c r="J77">
        <v>1.69</v>
      </c>
      <c r="K77" t="s">
        <v>235</v>
      </c>
      <c r="L77">
        <v>9148</v>
      </c>
      <c r="M77">
        <v>108</v>
      </c>
      <c r="N77">
        <v>68</v>
      </c>
      <c r="O77" t="s">
        <v>43</v>
      </c>
      <c r="P77">
        <v>2</v>
      </c>
      <c r="Q77" t="s">
        <v>275</v>
      </c>
      <c r="R77" t="s">
        <v>34</v>
      </c>
      <c r="S77">
        <v>9</v>
      </c>
      <c r="T77" t="s">
        <v>242</v>
      </c>
      <c r="U77" t="s">
        <v>36</v>
      </c>
      <c r="V77">
        <v>35911</v>
      </c>
      <c r="W77">
        <v>75</v>
      </c>
      <c r="X77">
        <v>91</v>
      </c>
      <c r="Y77">
        <v>10</v>
      </c>
      <c r="Z77">
        <f>VLOOKUP(Table1[[#This Row],[current_mood]],lookup_tables!$A$2:$B$6,2,FALSE)</f>
        <v>45</v>
      </c>
    </row>
    <row r="78" spans="1:26">
      <c r="A78">
        <v>77</v>
      </c>
      <c r="B78" t="s">
        <v>201</v>
      </c>
      <c r="C78">
        <v>2</v>
      </c>
      <c r="D78" t="s">
        <v>283</v>
      </c>
      <c r="E78" t="s">
        <v>248</v>
      </c>
      <c r="F78" t="s">
        <v>256</v>
      </c>
      <c r="G78" t="s">
        <v>86</v>
      </c>
      <c r="H78" t="s">
        <v>41</v>
      </c>
      <c r="I78">
        <v>10.119999999999999</v>
      </c>
      <c r="J78">
        <v>0.18</v>
      </c>
      <c r="K78" t="s">
        <v>235</v>
      </c>
      <c r="L78">
        <v>7006</v>
      </c>
      <c r="M78">
        <v>80</v>
      </c>
      <c r="N78">
        <v>68</v>
      </c>
      <c r="O78" t="s">
        <v>53</v>
      </c>
      <c r="P78">
        <v>5</v>
      </c>
      <c r="Q78" t="s">
        <v>259</v>
      </c>
      <c r="R78" t="s">
        <v>45</v>
      </c>
      <c r="S78">
        <v>30</v>
      </c>
      <c r="T78" t="s">
        <v>242</v>
      </c>
      <c r="U78" t="s">
        <v>57</v>
      </c>
      <c r="V78">
        <v>69736</v>
      </c>
      <c r="W78">
        <v>6</v>
      </c>
      <c r="X78">
        <v>48</v>
      </c>
      <c r="Y78">
        <v>68</v>
      </c>
      <c r="Z78">
        <f>VLOOKUP(Table1[[#This Row],[current_mood]],lookup_tables!$A$2:$B$6,2,FALSE)</f>
        <v>70</v>
      </c>
    </row>
    <row r="79" spans="1:26">
      <c r="A79">
        <v>78</v>
      </c>
      <c r="B79" t="s">
        <v>202</v>
      </c>
      <c r="C79">
        <v>13</v>
      </c>
      <c r="D79" t="s">
        <v>253</v>
      </c>
      <c r="E79" t="s">
        <v>243</v>
      </c>
      <c r="F79" t="s">
        <v>234</v>
      </c>
      <c r="G79" t="s">
        <v>100</v>
      </c>
      <c r="H79" t="s">
        <v>30</v>
      </c>
      <c r="I79">
        <v>24.88</v>
      </c>
      <c r="J79">
        <v>19.420000000000002</v>
      </c>
      <c r="K79" t="s">
        <v>258</v>
      </c>
      <c r="L79">
        <v>1491</v>
      </c>
      <c r="M79">
        <v>22</v>
      </c>
      <c r="N79">
        <v>105</v>
      </c>
      <c r="O79" t="s">
        <v>53</v>
      </c>
      <c r="P79">
        <v>4</v>
      </c>
      <c r="Q79" t="s">
        <v>246</v>
      </c>
      <c r="R79" t="s">
        <v>45</v>
      </c>
      <c r="S79">
        <v>15</v>
      </c>
      <c r="T79" t="s">
        <v>242</v>
      </c>
      <c r="U79" t="s">
        <v>270</v>
      </c>
      <c r="V79">
        <v>86861</v>
      </c>
      <c r="W79">
        <v>97</v>
      </c>
      <c r="X79">
        <v>55</v>
      </c>
      <c r="Y79">
        <v>79</v>
      </c>
      <c r="Z79">
        <f>VLOOKUP(Table1[[#This Row],[current_mood]],lookup_tables!$A$2:$B$6,2,FALSE)</f>
        <v>70</v>
      </c>
    </row>
    <row r="80" spans="1:26">
      <c r="A80">
        <v>79</v>
      </c>
      <c r="B80" t="s">
        <v>203</v>
      </c>
      <c r="C80">
        <v>2</v>
      </c>
      <c r="D80" t="s">
        <v>253</v>
      </c>
      <c r="E80" t="s">
        <v>243</v>
      </c>
      <c r="F80" t="s">
        <v>239</v>
      </c>
      <c r="G80" t="s">
        <v>29</v>
      </c>
      <c r="H80" t="s">
        <v>41</v>
      </c>
      <c r="I80">
        <v>35.54</v>
      </c>
      <c r="J80">
        <v>15.99</v>
      </c>
      <c r="K80" t="s">
        <v>271</v>
      </c>
      <c r="L80">
        <v>6330</v>
      </c>
      <c r="M80">
        <v>36</v>
      </c>
      <c r="N80">
        <v>101</v>
      </c>
      <c r="O80" t="s">
        <v>32</v>
      </c>
      <c r="P80">
        <v>11</v>
      </c>
      <c r="Q80" t="s">
        <v>263</v>
      </c>
      <c r="R80" t="s">
        <v>105</v>
      </c>
      <c r="S80">
        <v>69</v>
      </c>
      <c r="T80" t="s">
        <v>237</v>
      </c>
      <c r="U80" t="s">
        <v>101</v>
      </c>
      <c r="V80">
        <v>12979</v>
      </c>
      <c r="W80">
        <v>77</v>
      </c>
      <c r="X80">
        <v>89</v>
      </c>
      <c r="Y80">
        <v>84</v>
      </c>
      <c r="Z80">
        <f>VLOOKUP(Table1[[#This Row],[current_mood]],lookup_tables!$A$2:$B$6,2,FALSE)</f>
        <v>30</v>
      </c>
    </row>
    <row r="81" spans="1:26">
      <c r="A81">
        <v>80</v>
      </c>
      <c r="B81" t="s">
        <v>204</v>
      </c>
      <c r="C81">
        <v>8</v>
      </c>
      <c r="D81" t="s">
        <v>276</v>
      </c>
      <c r="E81" t="s">
        <v>243</v>
      </c>
      <c r="F81" t="s">
        <v>251</v>
      </c>
      <c r="G81" t="s">
        <v>141</v>
      </c>
      <c r="H81" t="s">
        <v>93</v>
      </c>
      <c r="I81">
        <v>24.79</v>
      </c>
      <c r="J81">
        <v>3.65</v>
      </c>
      <c r="K81" t="s">
        <v>271</v>
      </c>
      <c r="L81">
        <v>2544</v>
      </c>
      <c r="M81">
        <v>84</v>
      </c>
      <c r="N81">
        <v>137</v>
      </c>
      <c r="O81" t="s">
        <v>32</v>
      </c>
      <c r="P81">
        <v>4</v>
      </c>
      <c r="Q81" t="s">
        <v>274</v>
      </c>
      <c r="R81" t="s">
        <v>55</v>
      </c>
      <c r="S81">
        <v>0</v>
      </c>
      <c r="T81" t="s">
        <v>247</v>
      </c>
      <c r="U81" t="s">
        <v>138</v>
      </c>
      <c r="V81">
        <v>88061</v>
      </c>
      <c r="W81">
        <v>62</v>
      </c>
      <c r="X81">
        <v>98</v>
      </c>
      <c r="Y81">
        <v>34</v>
      </c>
      <c r="Z81">
        <f>VLOOKUP(Table1[[#This Row],[current_mood]],lookup_tables!$A$2:$B$6,2,FALSE)</f>
        <v>30</v>
      </c>
    </row>
    <row r="82" spans="1:26">
      <c r="A82">
        <v>81</v>
      </c>
      <c r="B82" t="s">
        <v>205</v>
      </c>
      <c r="C82">
        <v>10</v>
      </c>
      <c r="D82" t="s">
        <v>232</v>
      </c>
      <c r="E82" t="s">
        <v>233</v>
      </c>
      <c r="F82" t="s">
        <v>234</v>
      </c>
      <c r="G82" t="s">
        <v>51</v>
      </c>
      <c r="H82" t="s">
        <v>30</v>
      </c>
      <c r="I82">
        <v>18.38</v>
      </c>
      <c r="J82">
        <v>16.64</v>
      </c>
      <c r="K82" t="s">
        <v>266</v>
      </c>
      <c r="L82">
        <v>9410</v>
      </c>
      <c r="M82">
        <v>33</v>
      </c>
      <c r="N82">
        <v>130</v>
      </c>
      <c r="O82" t="s">
        <v>32</v>
      </c>
      <c r="P82">
        <v>6</v>
      </c>
      <c r="Q82" t="s">
        <v>284</v>
      </c>
      <c r="R82" t="s">
        <v>34</v>
      </c>
      <c r="S82">
        <v>64</v>
      </c>
      <c r="T82" t="s">
        <v>242</v>
      </c>
      <c r="U82" t="s">
        <v>173</v>
      </c>
      <c r="V82">
        <v>84574</v>
      </c>
      <c r="W82">
        <v>98</v>
      </c>
      <c r="X82">
        <v>2</v>
      </c>
      <c r="Y82">
        <v>85</v>
      </c>
      <c r="Z82">
        <f>VLOOKUP(Table1[[#This Row],[current_mood]],lookup_tables!$A$2:$B$6,2,FALSE)</f>
        <v>30</v>
      </c>
    </row>
    <row r="83" spans="1:26">
      <c r="A83">
        <v>82</v>
      </c>
      <c r="B83" t="s">
        <v>207</v>
      </c>
      <c r="C83">
        <v>17</v>
      </c>
      <c r="D83" t="s">
        <v>253</v>
      </c>
      <c r="E83" t="s">
        <v>238</v>
      </c>
      <c r="F83" t="s">
        <v>249</v>
      </c>
      <c r="G83" t="s">
        <v>126</v>
      </c>
      <c r="H83" t="s">
        <v>93</v>
      </c>
      <c r="I83">
        <v>22.94</v>
      </c>
      <c r="J83">
        <v>17.48</v>
      </c>
      <c r="K83" t="s">
        <v>254</v>
      </c>
      <c r="L83">
        <v>9603</v>
      </c>
      <c r="M83">
        <v>93</v>
      </c>
      <c r="N83">
        <v>157</v>
      </c>
      <c r="O83" t="s">
        <v>43</v>
      </c>
      <c r="P83">
        <v>0</v>
      </c>
      <c r="Q83" t="s">
        <v>263</v>
      </c>
      <c r="R83" t="s">
        <v>55</v>
      </c>
      <c r="S83">
        <v>37</v>
      </c>
      <c r="T83" t="s">
        <v>247</v>
      </c>
      <c r="U83" t="s">
        <v>138</v>
      </c>
      <c r="V83">
        <v>75323</v>
      </c>
      <c r="W83">
        <v>58</v>
      </c>
      <c r="X83">
        <v>94</v>
      </c>
      <c r="Y83">
        <v>76</v>
      </c>
      <c r="Z83">
        <f>VLOOKUP(Table1[[#This Row],[current_mood]],lookup_tables!$A$2:$B$6,2,FALSE)</f>
        <v>45</v>
      </c>
    </row>
    <row r="84" spans="1:26">
      <c r="A84">
        <v>83</v>
      </c>
      <c r="B84" t="s">
        <v>208</v>
      </c>
      <c r="C84">
        <v>9</v>
      </c>
      <c r="D84" t="s">
        <v>253</v>
      </c>
      <c r="E84" t="s">
        <v>248</v>
      </c>
      <c r="F84" t="s">
        <v>239</v>
      </c>
      <c r="G84" t="s">
        <v>66</v>
      </c>
      <c r="H84" t="s">
        <v>93</v>
      </c>
      <c r="I84">
        <v>12</v>
      </c>
      <c r="J84">
        <v>24.44</v>
      </c>
      <c r="K84" t="s">
        <v>254</v>
      </c>
      <c r="L84">
        <v>13134</v>
      </c>
      <c r="M84">
        <v>83</v>
      </c>
      <c r="N84">
        <v>117</v>
      </c>
      <c r="O84" t="s">
        <v>97</v>
      </c>
      <c r="P84">
        <v>5</v>
      </c>
      <c r="Q84" t="s">
        <v>268</v>
      </c>
      <c r="R84" t="s">
        <v>105</v>
      </c>
      <c r="S84">
        <v>13</v>
      </c>
      <c r="T84" t="s">
        <v>247</v>
      </c>
      <c r="U84" t="s">
        <v>98</v>
      </c>
      <c r="V84">
        <v>88385</v>
      </c>
      <c r="W84">
        <v>73</v>
      </c>
      <c r="X84">
        <v>29</v>
      </c>
      <c r="Y84">
        <v>41</v>
      </c>
      <c r="Z84">
        <f>VLOOKUP(Table1[[#This Row],[current_mood]],lookup_tables!$A$2:$B$6,2,FALSE)</f>
        <v>90</v>
      </c>
    </row>
    <row r="85" spans="1:26">
      <c r="A85">
        <v>84</v>
      </c>
      <c r="B85" t="s">
        <v>209</v>
      </c>
      <c r="C85">
        <v>3</v>
      </c>
      <c r="D85" t="s">
        <v>253</v>
      </c>
      <c r="E85" t="s">
        <v>238</v>
      </c>
      <c r="F85" t="s">
        <v>234</v>
      </c>
      <c r="G85" t="s">
        <v>61</v>
      </c>
      <c r="H85" t="s">
        <v>30</v>
      </c>
      <c r="I85">
        <v>36.82</v>
      </c>
      <c r="J85">
        <v>12.94</v>
      </c>
      <c r="K85" t="s">
        <v>280</v>
      </c>
      <c r="L85">
        <v>3668</v>
      </c>
      <c r="M85">
        <v>59</v>
      </c>
      <c r="N85">
        <v>103</v>
      </c>
      <c r="O85" t="s">
        <v>87</v>
      </c>
      <c r="P85">
        <v>11</v>
      </c>
      <c r="Q85" t="s">
        <v>246</v>
      </c>
      <c r="R85" t="s">
        <v>105</v>
      </c>
      <c r="S85">
        <v>24</v>
      </c>
      <c r="T85" t="s">
        <v>237</v>
      </c>
      <c r="U85" t="s">
        <v>210</v>
      </c>
      <c r="V85">
        <v>99242</v>
      </c>
      <c r="W85">
        <v>4</v>
      </c>
      <c r="X85">
        <v>59</v>
      </c>
      <c r="Y85">
        <v>54</v>
      </c>
      <c r="Z85">
        <f>VLOOKUP(Table1[[#This Row],[current_mood]],lookup_tables!$A$2:$B$6,2,FALSE)</f>
        <v>55</v>
      </c>
    </row>
    <row r="86" spans="1:26">
      <c r="A86">
        <v>85</v>
      </c>
      <c r="B86" t="s">
        <v>107</v>
      </c>
      <c r="C86">
        <v>5</v>
      </c>
      <c r="D86" t="s">
        <v>232</v>
      </c>
      <c r="E86" t="s">
        <v>238</v>
      </c>
      <c r="F86" t="s">
        <v>256</v>
      </c>
      <c r="G86" t="s">
        <v>51</v>
      </c>
      <c r="H86" t="s">
        <v>104</v>
      </c>
      <c r="I86">
        <v>40.24</v>
      </c>
      <c r="J86">
        <v>4.01</v>
      </c>
      <c r="K86" t="s">
        <v>271</v>
      </c>
      <c r="L86">
        <v>14012</v>
      </c>
      <c r="M86">
        <v>117</v>
      </c>
      <c r="N86">
        <v>87</v>
      </c>
      <c r="O86" t="s">
        <v>97</v>
      </c>
      <c r="P86">
        <v>7</v>
      </c>
      <c r="Q86" t="s">
        <v>272</v>
      </c>
      <c r="R86" t="s">
        <v>105</v>
      </c>
      <c r="S86">
        <v>18</v>
      </c>
      <c r="T86" t="s">
        <v>237</v>
      </c>
      <c r="U86" t="s">
        <v>47</v>
      </c>
      <c r="V86">
        <v>36107</v>
      </c>
      <c r="W86">
        <v>6</v>
      </c>
      <c r="X86">
        <v>32</v>
      </c>
      <c r="Y86">
        <v>20</v>
      </c>
      <c r="Z86">
        <f>VLOOKUP(Table1[[#This Row],[current_mood]],lookup_tables!$A$2:$B$6,2,FALSE)</f>
        <v>90</v>
      </c>
    </row>
    <row r="87" spans="1:26">
      <c r="A87">
        <v>86</v>
      </c>
      <c r="B87" t="s">
        <v>211</v>
      </c>
      <c r="C87">
        <v>12</v>
      </c>
      <c r="D87" t="s">
        <v>253</v>
      </c>
      <c r="E87" t="s">
        <v>248</v>
      </c>
      <c r="F87" t="s">
        <v>251</v>
      </c>
      <c r="G87" t="s">
        <v>29</v>
      </c>
      <c r="H87" t="s">
        <v>104</v>
      </c>
      <c r="I87">
        <v>18.43</v>
      </c>
      <c r="J87">
        <v>4.6900000000000004</v>
      </c>
      <c r="K87" t="s">
        <v>240</v>
      </c>
      <c r="L87">
        <v>5851</v>
      </c>
      <c r="M87">
        <v>69</v>
      </c>
      <c r="N87">
        <v>133</v>
      </c>
      <c r="O87" t="s">
        <v>43</v>
      </c>
      <c r="P87">
        <v>6</v>
      </c>
      <c r="Q87" t="s">
        <v>250</v>
      </c>
      <c r="R87" t="s">
        <v>55</v>
      </c>
      <c r="S87">
        <v>21</v>
      </c>
      <c r="T87" t="s">
        <v>247</v>
      </c>
      <c r="U87" t="s">
        <v>155</v>
      </c>
      <c r="V87">
        <v>4276</v>
      </c>
      <c r="W87">
        <v>57</v>
      </c>
      <c r="X87">
        <v>66</v>
      </c>
      <c r="Y87">
        <v>8</v>
      </c>
      <c r="Z87">
        <f>VLOOKUP(Table1[[#This Row],[current_mood]],lookup_tables!$A$2:$B$6,2,FALSE)</f>
        <v>45</v>
      </c>
    </row>
    <row r="88" spans="1:26">
      <c r="A88">
        <v>87</v>
      </c>
      <c r="B88" t="s">
        <v>212</v>
      </c>
      <c r="C88">
        <v>3</v>
      </c>
      <c r="D88" t="s">
        <v>232</v>
      </c>
      <c r="E88" t="s">
        <v>238</v>
      </c>
      <c r="F88" t="s">
        <v>239</v>
      </c>
      <c r="G88" t="s">
        <v>141</v>
      </c>
      <c r="H88" t="s">
        <v>104</v>
      </c>
      <c r="I88">
        <v>44.62</v>
      </c>
      <c r="J88">
        <v>2.2799999999999998</v>
      </c>
      <c r="K88" t="s">
        <v>285</v>
      </c>
      <c r="L88">
        <v>14902</v>
      </c>
      <c r="M88">
        <v>25</v>
      </c>
      <c r="N88">
        <v>110</v>
      </c>
      <c r="O88" t="s">
        <v>87</v>
      </c>
      <c r="P88">
        <v>12</v>
      </c>
      <c r="Q88" t="s">
        <v>275</v>
      </c>
      <c r="R88" t="s">
        <v>34</v>
      </c>
      <c r="S88">
        <v>31</v>
      </c>
      <c r="T88" t="s">
        <v>237</v>
      </c>
      <c r="U88" t="s">
        <v>57</v>
      </c>
      <c r="V88">
        <v>88223</v>
      </c>
      <c r="W88">
        <v>95</v>
      </c>
      <c r="X88">
        <v>89</v>
      </c>
      <c r="Y88">
        <v>72</v>
      </c>
      <c r="Z88">
        <f>VLOOKUP(Table1[[#This Row],[current_mood]],lookup_tables!$A$2:$B$6,2,FALSE)</f>
        <v>55</v>
      </c>
    </row>
    <row r="89" spans="1:26">
      <c r="A89">
        <v>88</v>
      </c>
      <c r="B89" t="s">
        <v>214</v>
      </c>
      <c r="C89">
        <v>12</v>
      </c>
      <c r="D89" t="s">
        <v>232</v>
      </c>
      <c r="E89" t="s">
        <v>243</v>
      </c>
      <c r="F89" t="s">
        <v>234</v>
      </c>
      <c r="G89" t="s">
        <v>40</v>
      </c>
      <c r="H89" t="s">
        <v>93</v>
      </c>
      <c r="I89">
        <v>11.93</v>
      </c>
      <c r="J89">
        <v>23.03</v>
      </c>
      <c r="K89" t="s">
        <v>235</v>
      </c>
      <c r="L89">
        <v>6882</v>
      </c>
      <c r="M89">
        <v>97</v>
      </c>
      <c r="N89">
        <v>105</v>
      </c>
      <c r="O89" t="s">
        <v>43</v>
      </c>
      <c r="P89">
        <v>9</v>
      </c>
      <c r="Q89" t="s">
        <v>259</v>
      </c>
      <c r="R89" t="s">
        <v>45</v>
      </c>
      <c r="S89">
        <v>57</v>
      </c>
      <c r="T89" t="s">
        <v>237</v>
      </c>
      <c r="U89" t="s">
        <v>179</v>
      </c>
      <c r="V89">
        <v>89096</v>
      </c>
      <c r="W89">
        <v>29</v>
      </c>
      <c r="X89">
        <v>18</v>
      </c>
      <c r="Y89">
        <v>11</v>
      </c>
      <c r="Z89">
        <f>VLOOKUP(Table1[[#This Row],[current_mood]],lookup_tables!$A$2:$B$6,2,FALSE)</f>
        <v>45</v>
      </c>
    </row>
    <row r="90" spans="1:26">
      <c r="A90">
        <v>89</v>
      </c>
      <c r="B90" t="s">
        <v>215</v>
      </c>
      <c r="C90">
        <v>10</v>
      </c>
      <c r="D90" t="s">
        <v>232</v>
      </c>
      <c r="E90" t="s">
        <v>243</v>
      </c>
      <c r="F90" t="s">
        <v>261</v>
      </c>
      <c r="G90" t="s">
        <v>66</v>
      </c>
      <c r="H90" t="s">
        <v>104</v>
      </c>
      <c r="I90">
        <v>37.93</v>
      </c>
      <c r="J90">
        <v>18.600000000000001</v>
      </c>
      <c r="K90" t="s">
        <v>279</v>
      </c>
      <c r="L90">
        <v>5373</v>
      </c>
      <c r="M90">
        <v>40</v>
      </c>
      <c r="N90">
        <v>76</v>
      </c>
      <c r="O90" t="s">
        <v>87</v>
      </c>
      <c r="P90">
        <v>3</v>
      </c>
      <c r="Q90" t="s">
        <v>263</v>
      </c>
      <c r="R90" t="s">
        <v>105</v>
      </c>
      <c r="S90">
        <v>7</v>
      </c>
      <c r="T90" t="s">
        <v>237</v>
      </c>
      <c r="U90" t="s">
        <v>117</v>
      </c>
      <c r="V90">
        <v>38619</v>
      </c>
      <c r="W90">
        <v>22</v>
      </c>
      <c r="X90">
        <v>93</v>
      </c>
      <c r="Y90">
        <v>88</v>
      </c>
      <c r="Z90">
        <f>VLOOKUP(Table1[[#This Row],[current_mood]],lookup_tables!$A$2:$B$6,2,FALSE)</f>
        <v>55</v>
      </c>
    </row>
    <row r="91" spans="1:26">
      <c r="A91">
        <v>90</v>
      </c>
      <c r="B91" t="s">
        <v>216</v>
      </c>
      <c r="C91">
        <v>3</v>
      </c>
      <c r="D91" t="s">
        <v>253</v>
      </c>
      <c r="E91" t="s">
        <v>248</v>
      </c>
      <c r="F91" t="s">
        <v>239</v>
      </c>
      <c r="G91" t="s">
        <v>51</v>
      </c>
      <c r="H91" t="s">
        <v>30</v>
      </c>
      <c r="I91">
        <v>14.02</v>
      </c>
      <c r="J91">
        <v>3.1</v>
      </c>
      <c r="K91" t="s">
        <v>254</v>
      </c>
      <c r="L91">
        <v>11778</v>
      </c>
      <c r="M91">
        <v>43</v>
      </c>
      <c r="N91">
        <v>118</v>
      </c>
      <c r="O91" t="s">
        <v>43</v>
      </c>
      <c r="P91">
        <v>5</v>
      </c>
      <c r="Q91" t="s">
        <v>272</v>
      </c>
      <c r="R91" t="s">
        <v>55</v>
      </c>
      <c r="S91">
        <v>2</v>
      </c>
      <c r="T91" t="s">
        <v>242</v>
      </c>
      <c r="U91" t="s">
        <v>69</v>
      </c>
      <c r="V91">
        <v>86159</v>
      </c>
      <c r="W91">
        <v>26</v>
      </c>
      <c r="X91">
        <v>26</v>
      </c>
      <c r="Y91">
        <v>19</v>
      </c>
      <c r="Z91">
        <f>VLOOKUP(Table1[[#This Row],[current_mood]],lookup_tables!$A$2:$B$6,2,FALSE)</f>
        <v>45</v>
      </c>
    </row>
    <row r="92" spans="1:26">
      <c r="A92">
        <v>91</v>
      </c>
      <c r="B92" t="s">
        <v>217</v>
      </c>
      <c r="C92">
        <v>3</v>
      </c>
      <c r="D92" t="s">
        <v>232</v>
      </c>
      <c r="E92" t="s">
        <v>243</v>
      </c>
      <c r="F92" t="s">
        <v>249</v>
      </c>
      <c r="G92" t="s">
        <v>145</v>
      </c>
      <c r="H92" t="s">
        <v>93</v>
      </c>
      <c r="I92">
        <v>28.2</v>
      </c>
      <c r="J92">
        <v>14.01</v>
      </c>
      <c r="K92" t="s">
        <v>235</v>
      </c>
      <c r="L92">
        <v>14094</v>
      </c>
      <c r="M92">
        <v>106</v>
      </c>
      <c r="N92">
        <v>100</v>
      </c>
      <c r="O92" t="s">
        <v>97</v>
      </c>
      <c r="P92">
        <v>9</v>
      </c>
      <c r="Q92" t="s">
        <v>284</v>
      </c>
      <c r="R92" t="s">
        <v>34</v>
      </c>
      <c r="S92">
        <v>31</v>
      </c>
      <c r="T92" t="s">
        <v>242</v>
      </c>
      <c r="U92" t="s">
        <v>158</v>
      </c>
      <c r="V92">
        <v>4255</v>
      </c>
      <c r="W92">
        <v>29</v>
      </c>
      <c r="X92">
        <v>89</v>
      </c>
      <c r="Y92">
        <v>15</v>
      </c>
      <c r="Z92">
        <f>VLOOKUP(Table1[[#This Row],[current_mood]],lookup_tables!$A$2:$B$6,2,FALSE)</f>
        <v>90</v>
      </c>
    </row>
    <row r="93" spans="1:26">
      <c r="A93">
        <v>92</v>
      </c>
      <c r="B93" t="s">
        <v>131</v>
      </c>
      <c r="C93">
        <v>5</v>
      </c>
      <c r="D93" t="s">
        <v>232</v>
      </c>
      <c r="E93" t="s">
        <v>233</v>
      </c>
      <c r="F93" t="s">
        <v>234</v>
      </c>
      <c r="G93" t="s">
        <v>40</v>
      </c>
      <c r="H93" t="s">
        <v>41</v>
      </c>
      <c r="I93">
        <v>39.57</v>
      </c>
      <c r="J93">
        <v>8</v>
      </c>
      <c r="K93" t="s">
        <v>235</v>
      </c>
      <c r="L93">
        <v>12237</v>
      </c>
      <c r="M93">
        <v>76</v>
      </c>
      <c r="N93">
        <v>123</v>
      </c>
      <c r="O93" t="s">
        <v>53</v>
      </c>
      <c r="P93">
        <v>8</v>
      </c>
      <c r="Q93" t="s">
        <v>265</v>
      </c>
      <c r="R93" t="s">
        <v>55</v>
      </c>
      <c r="S93">
        <v>82</v>
      </c>
      <c r="T93" t="s">
        <v>242</v>
      </c>
      <c r="U93" t="s">
        <v>138</v>
      </c>
      <c r="V93">
        <v>94632</v>
      </c>
      <c r="W93">
        <v>90</v>
      </c>
      <c r="X93">
        <v>72</v>
      </c>
      <c r="Y93">
        <v>6</v>
      </c>
      <c r="Z93">
        <f>VLOOKUP(Table1[[#This Row],[current_mood]],lookup_tables!$A$2:$B$6,2,FALSE)</f>
        <v>70</v>
      </c>
    </row>
    <row r="94" spans="1:26">
      <c r="A94">
        <v>93</v>
      </c>
      <c r="B94" t="s">
        <v>218</v>
      </c>
      <c r="C94">
        <v>11</v>
      </c>
      <c r="D94" t="s">
        <v>232</v>
      </c>
      <c r="E94" t="s">
        <v>243</v>
      </c>
      <c r="F94" t="s">
        <v>251</v>
      </c>
      <c r="G94" t="s">
        <v>145</v>
      </c>
      <c r="H94" t="s">
        <v>41</v>
      </c>
      <c r="I94">
        <v>33.15</v>
      </c>
      <c r="J94">
        <v>6.74</v>
      </c>
      <c r="K94" t="s">
        <v>235</v>
      </c>
      <c r="L94">
        <v>14334</v>
      </c>
      <c r="M94">
        <v>64</v>
      </c>
      <c r="N94">
        <v>112</v>
      </c>
      <c r="O94" t="s">
        <v>87</v>
      </c>
      <c r="P94">
        <v>5</v>
      </c>
      <c r="Q94" t="s">
        <v>272</v>
      </c>
      <c r="R94" t="s">
        <v>45</v>
      </c>
      <c r="S94">
        <v>77</v>
      </c>
      <c r="T94" t="s">
        <v>247</v>
      </c>
      <c r="U94" t="s">
        <v>89</v>
      </c>
      <c r="V94">
        <v>1996</v>
      </c>
      <c r="W94">
        <v>55</v>
      </c>
      <c r="X94">
        <v>57</v>
      </c>
      <c r="Y94">
        <v>67</v>
      </c>
      <c r="Z94">
        <f>VLOOKUP(Table1[[#This Row],[current_mood]],lookup_tables!$A$2:$B$6,2,FALSE)</f>
        <v>55</v>
      </c>
    </row>
    <row r="95" spans="1:26">
      <c r="A95">
        <v>94</v>
      </c>
      <c r="B95" t="s">
        <v>219</v>
      </c>
      <c r="C95">
        <v>18</v>
      </c>
      <c r="D95" t="s">
        <v>253</v>
      </c>
      <c r="E95" t="s">
        <v>243</v>
      </c>
      <c r="F95" t="s">
        <v>256</v>
      </c>
      <c r="G95" t="s">
        <v>86</v>
      </c>
      <c r="H95" t="s">
        <v>104</v>
      </c>
      <c r="I95">
        <v>11.56</v>
      </c>
      <c r="J95">
        <v>1.84</v>
      </c>
      <c r="K95" t="s">
        <v>235</v>
      </c>
      <c r="L95">
        <v>3980</v>
      </c>
      <c r="M95">
        <v>81</v>
      </c>
      <c r="N95">
        <v>78</v>
      </c>
      <c r="O95" t="s">
        <v>97</v>
      </c>
      <c r="P95">
        <v>7</v>
      </c>
      <c r="Q95" t="s">
        <v>241</v>
      </c>
      <c r="R95" t="s">
        <v>105</v>
      </c>
      <c r="S95">
        <v>11</v>
      </c>
      <c r="T95" t="s">
        <v>247</v>
      </c>
      <c r="U95" t="s">
        <v>47</v>
      </c>
      <c r="V95">
        <v>38743</v>
      </c>
      <c r="W95">
        <v>56</v>
      </c>
      <c r="X95">
        <v>95</v>
      </c>
      <c r="Y95">
        <v>79</v>
      </c>
      <c r="Z95">
        <f>VLOOKUP(Table1[[#This Row],[current_mood]],lookup_tables!$A$2:$B$6,2,FALSE)</f>
        <v>90</v>
      </c>
    </row>
    <row r="96" spans="1:26">
      <c r="A96">
        <v>95</v>
      </c>
      <c r="B96" t="s">
        <v>220</v>
      </c>
      <c r="C96">
        <v>3</v>
      </c>
      <c r="D96" t="s">
        <v>253</v>
      </c>
      <c r="E96" t="s">
        <v>233</v>
      </c>
      <c r="F96" t="s">
        <v>239</v>
      </c>
      <c r="G96" t="s">
        <v>141</v>
      </c>
      <c r="H96" t="s">
        <v>30</v>
      </c>
      <c r="I96">
        <v>29.86</v>
      </c>
      <c r="J96">
        <v>11.83</v>
      </c>
      <c r="K96" t="s">
        <v>266</v>
      </c>
      <c r="L96">
        <v>6777</v>
      </c>
      <c r="M96">
        <v>91</v>
      </c>
      <c r="N96">
        <v>134</v>
      </c>
      <c r="O96" t="s">
        <v>32</v>
      </c>
      <c r="P96">
        <v>6</v>
      </c>
      <c r="Q96" t="s">
        <v>274</v>
      </c>
      <c r="R96" t="s">
        <v>105</v>
      </c>
      <c r="S96">
        <v>48</v>
      </c>
      <c r="T96" t="s">
        <v>237</v>
      </c>
      <c r="U96" t="s">
        <v>106</v>
      </c>
      <c r="V96">
        <v>21345</v>
      </c>
      <c r="W96">
        <v>42</v>
      </c>
      <c r="X96">
        <v>51</v>
      </c>
      <c r="Y96">
        <v>94</v>
      </c>
      <c r="Z96">
        <f>VLOOKUP(Table1[[#This Row],[current_mood]],lookup_tables!$A$2:$B$6,2,FALSE)</f>
        <v>30</v>
      </c>
    </row>
    <row r="97" spans="1:26">
      <c r="A97">
        <v>96</v>
      </c>
      <c r="B97" t="s">
        <v>221</v>
      </c>
      <c r="C97">
        <v>16</v>
      </c>
      <c r="D97" t="s">
        <v>253</v>
      </c>
      <c r="E97" t="s">
        <v>243</v>
      </c>
      <c r="F97" t="s">
        <v>234</v>
      </c>
      <c r="G97" t="s">
        <v>126</v>
      </c>
      <c r="H97" t="s">
        <v>93</v>
      </c>
      <c r="I97">
        <v>6.69</v>
      </c>
      <c r="J97">
        <v>5.01</v>
      </c>
      <c r="K97" t="s">
        <v>264</v>
      </c>
      <c r="L97">
        <v>12867</v>
      </c>
      <c r="M97">
        <v>51</v>
      </c>
      <c r="N97">
        <v>71</v>
      </c>
      <c r="O97" t="s">
        <v>53</v>
      </c>
      <c r="P97">
        <v>8</v>
      </c>
      <c r="Q97" t="s">
        <v>250</v>
      </c>
      <c r="R97" t="s">
        <v>55</v>
      </c>
      <c r="S97">
        <v>48</v>
      </c>
      <c r="T97" t="s">
        <v>247</v>
      </c>
      <c r="U97" t="s">
        <v>278</v>
      </c>
      <c r="V97">
        <v>16086</v>
      </c>
      <c r="W97">
        <v>97</v>
      </c>
      <c r="X97">
        <v>98</v>
      </c>
      <c r="Y97">
        <v>11</v>
      </c>
      <c r="Z97">
        <f>VLOOKUP(Table1[[#This Row],[current_mood]],lookup_tables!$A$2:$B$6,2,FALSE)</f>
        <v>70</v>
      </c>
    </row>
    <row r="98" spans="1:26">
      <c r="A98">
        <v>97</v>
      </c>
      <c r="B98" t="s">
        <v>222</v>
      </c>
      <c r="C98">
        <v>9</v>
      </c>
      <c r="D98" t="s">
        <v>232</v>
      </c>
      <c r="E98" t="s">
        <v>238</v>
      </c>
      <c r="F98" t="s">
        <v>251</v>
      </c>
      <c r="G98" t="s">
        <v>61</v>
      </c>
      <c r="H98" t="s">
        <v>93</v>
      </c>
      <c r="I98">
        <v>15.44</v>
      </c>
      <c r="J98">
        <v>10.9</v>
      </c>
      <c r="K98" t="s">
        <v>271</v>
      </c>
      <c r="L98">
        <v>9197</v>
      </c>
      <c r="M98">
        <v>59</v>
      </c>
      <c r="N98">
        <v>86</v>
      </c>
      <c r="O98" t="s">
        <v>32</v>
      </c>
      <c r="P98">
        <v>8</v>
      </c>
      <c r="Q98" t="s">
        <v>241</v>
      </c>
      <c r="R98" t="s">
        <v>55</v>
      </c>
      <c r="S98">
        <v>30</v>
      </c>
      <c r="T98" t="s">
        <v>237</v>
      </c>
      <c r="U98" t="s">
        <v>98</v>
      </c>
      <c r="V98">
        <v>69453</v>
      </c>
      <c r="W98">
        <v>27</v>
      </c>
      <c r="X98">
        <v>1</v>
      </c>
      <c r="Y98">
        <v>40</v>
      </c>
      <c r="Z98">
        <f>VLOOKUP(Table1[[#This Row],[current_mood]],lookup_tables!$A$2:$B$6,2,FALSE)</f>
        <v>30</v>
      </c>
    </row>
    <row r="99" spans="1:26">
      <c r="A99">
        <v>98</v>
      </c>
      <c r="B99" t="s">
        <v>223</v>
      </c>
      <c r="C99">
        <v>17</v>
      </c>
      <c r="D99" t="s">
        <v>253</v>
      </c>
      <c r="E99" t="s">
        <v>248</v>
      </c>
      <c r="F99" t="s">
        <v>239</v>
      </c>
      <c r="G99" t="s">
        <v>61</v>
      </c>
      <c r="H99" t="s">
        <v>67</v>
      </c>
      <c r="I99">
        <v>21.32</v>
      </c>
      <c r="J99">
        <v>8.2200000000000006</v>
      </c>
      <c r="K99" t="s">
        <v>254</v>
      </c>
      <c r="L99">
        <v>1103</v>
      </c>
      <c r="M99">
        <v>38</v>
      </c>
      <c r="N99">
        <v>149</v>
      </c>
      <c r="O99" t="s">
        <v>53</v>
      </c>
      <c r="P99">
        <v>3</v>
      </c>
      <c r="Q99" t="s">
        <v>259</v>
      </c>
      <c r="R99" t="s">
        <v>45</v>
      </c>
      <c r="S99">
        <v>32</v>
      </c>
      <c r="T99" t="s">
        <v>242</v>
      </c>
      <c r="U99" t="s">
        <v>224</v>
      </c>
      <c r="V99">
        <v>71073</v>
      </c>
      <c r="W99">
        <v>87</v>
      </c>
      <c r="X99">
        <v>48</v>
      </c>
      <c r="Y99">
        <v>71</v>
      </c>
      <c r="Z99">
        <f>VLOOKUP(Table1[[#This Row],[current_mood]],lookup_tables!$A$2:$B$6,2,FALSE)</f>
        <v>70</v>
      </c>
    </row>
    <row r="100" spans="1:26">
      <c r="A100">
        <v>99</v>
      </c>
      <c r="B100" t="s">
        <v>225</v>
      </c>
      <c r="C100">
        <v>18</v>
      </c>
      <c r="D100" t="s">
        <v>253</v>
      </c>
      <c r="E100" t="s">
        <v>248</v>
      </c>
      <c r="F100" t="s">
        <v>234</v>
      </c>
      <c r="G100" t="s">
        <v>80</v>
      </c>
      <c r="H100" t="s">
        <v>30</v>
      </c>
      <c r="I100">
        <v>31.74</v>
      </c>
      <c r="J100">
        <v>4.8499999999999996</v>
      </c>
      <c r="K100" t="s">
        <v>240</v>
      </c>
      <c r="L100">
        <v>12513</v>
      </c>
      <c r="M100">
        <v>81</v>
      </c>
      <c r="N100">
        <v>151</v>
      </c>
      <c r="O100" t="s">
        <v>97</v>
      </c>
      <c r="P100">
        <v>6</v>
      </c>
      <c r="Q100" t="s">
        <v>259</v>
      </c>
      <c r="R100" t="s">
        <v>45</v>
      </c>
      <c r="S100">
        <v>96</v>
      </c>
      <c r="T100" t="s">
        <v>237</v>
      </c>
      <c r="U100" t="s">
        <v>75</v>
      </c>
      <c r="V100">
        <v>58923</v>
      </c>
      <c r="W100">
        <v>92</v>
      </c>
      <c r="X100">
        <v>95</v>
      </c>
      <c r="Y100">
        <v>45</v>
      </c>
      <c r="Z100">
        <f>VLOOKUP(Table1[[#This Row],[current_mood]],lookup_tables!$A$2:$B$6,2,FALSE)</f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0524-FBFA-4C63-BBF9-BC89ACA2A42A}">
  <dimension ref="A1:F15"/>
  <sheetViews>
    <sheetView tabSelected="1" topLeftCell="C1" workbookViewId="0">
      <selection activeCell="E13" sqref="E13"/>
    </sheetView>
  </sheetViews>
  <sheetFormatPr defaultRowHeight="15"/>
  <cols>
    <col min="1" max="1" width="18.42578125" bestFit="1" customWidth="1"/>
    <col min="2" max="2" width="23" bestFit="1" customWidth="1"/>
    <col min="3" max="3" width="12.28515625" bestFit="1" customWidth="1"/>
    <col min="4" max="4" width="11.140625" bestFit="1" customWidth="1"/>
    <col min="5" max="5" width="14.42578125" bestFit="1" customWidth="1"/>
    <col min="6" max="6" width="11.7109375" bestFit="1" customWidth="1"/>
  </cols>
  <sheetData>
    <row r="1" spans="1:6">
      <c r="A1" s="1" t="s">
        <v>286</v>
      </c>
      <c r="B1" s="1" t="s">
        <v>227</v>
      </c>
    </row>
    <row r="2" spans="1:6">
      <c r="A2" s="1" t="s">
        <v>14</v>
      </c>
      <c r="B2" t="s">
        <v>34</v>
      </c>
      <c r="C2" t="s">
        <v>55</v>
      </c>
      <c r="D2" t="s">
        <v>105</v>
      </c>
      <c r="E2" t="s">
        <v>45</v>
      </c>
      <c r="F2" t="s">
        <v>287</v>
      </c>
    </row>
    <row r="3" spans="1:6">
      <c r="A3" t="s">
        <v>53</v>
      </c>
      <c r="B3">
        <v>360</v>
      </c>
      <c r="C3">
        <v>404</v>
      </c>
      <c r="D3">
        <v>105</v>
      </c>
      <c r="E3">
        <v>393</v>
      </c>
      <c r="F3">
        <v>1262</v>
      </c>
    </row>
    <row r="4" spans="1:6">
      <c r="A4" t="s">
        <v>43</v>
      </c>
      <c r="B4">
        <v>306</v>
      </c>
      <c r="C4">
        <v>424</v>
      </c>
      <c r="D4">
        <v>94</v>
      </c>
      <c r="E4">
        <v>261</v>
      </c>
      <c r="F4">
        <v>1085</v>
      </c>
    </row>
    <row r="5" spans="1:6">
      <c r="A5" t="s">
        <v>97</v>
      </c>
      <c r="B5">
        <v>172</v>
      </c>
      <c r="C5">
        <v>171</v>
      </c>
      <c r="D5">
        <v>432</v>
      </c>
      <c r="E5">
        <v>241</v>
      </c>
      <c r="F5">
        <v>1016</v>
      </c>
    </row>
    <row r="6" spans="1:6">
      <c r="A6" t="s">
        <v>32</v>
      </c>
      <c r="B6">
        <v>226</v>
      </c>
      <c r="C6">
        <v>240</v>
      </c>
      <c r="D6">
        <v>238</v>
      </c>
      <c r="E6">
        <v>118</v>
      </c>
      <c r="F6">
        <v>822</v>
      </c>
    </row>
    <row r="7" spans="1:6">
      <c r="A7" t="s">
        <v>87</v>
      </c>
      <c r="B7">
        <v>244</v>
      </c>
      <c r="D7">
        <v>281</v>
      </c>
      <c r="E7">
        <v>240</v>
      </c>
      <c r="F7">
        <v>765</v>
      </c>
    </row>
    <row r="8" spans="1:6">
      <c r="A8" t="s">
        <v>287</v>
      </c>
      <c r="B8">
        <v>1308</v>
      </c>
      <c r="C8">
        <v>1239</v>
      </c>
      <c r="D8">
        <v>1150</v>
      </c>
      <c r="E8">
        <v>1253</v>
      </c>
      <c r="F8">
        <v>4950</v>
      </c>
    </row>
    <row r="10" spans="1:6">
      <c r="A10" s="1" t="s">
        <v>227</v>
      </c>
      <c r="B10" t="s">
        <v>288</v>
      </c>
    </row>
    <row r="11" spans="1:6">
      <c r="A11" t="s">
        <v>34</v>
      </c>
      <c r="B11" s="3">
        <v>1645</v>
      </c>
    </row>
    <row r="12" spans="1:6">
      <c r="A12" t="s">
        <v>55</v>
      </c>
      <c r="B12" s="3">
        <v>1400</v>
      </c>
    </row>
    <row r="13" spans="1:6">
      <c r="A13" t="s">
        <v>105</v>
      </c>
      <c r="B13" s="3">
        <v>1275</v>
      </c>
    </row>
    <row r="14" spans="1:6">
      <c r="A14" t="s">
        <v>45</v>
      </c>
      <c r="B14" s="3">
        <v>1495</v>
      </c>
    </row>
    <row r="15" spans="1:6">
      <c r="A15" t="s">
        <v>287</v>
      </c>
      <c r="B15" s="3">
        <v>5815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9E6F-89F8-4D9B-B256-92D89CFC8B4E}">
  <dimension ref="A1:B6"/>
  <sheetViews>
    <sheetView workbookViewId="0">
      <selection activeCell="A7" sqref="A7"/>
    </sheetView>
  </sheetViews>
  <sheetFormatPr defaultRowHeight="15"/>
  <cols>
    <col min="1" max="1" width="11.5703125" bestFit="1" customWidth="1"/>
    <col min="2" max="2" width="16.42578125" bestFit="1" customWidth="1"/>
  </cols>
  <sheetData>
    <row r="1" spans="1:2">
      <c r="A1" s="2" t="s">
        <v>289</v>
      </c>
      <c r="B1" s="2" t="s">
        <v>290</v>
      </c>
    </row>
    <row r="2" spans="1:2">
      <c r="A2" t="s">
        <v>32</v>
      </c>
      <c r="B2">
        <v>30</v>
      </c>
    </row>
    <row r="3" spans="1:2">
      <c r="A3" t="s">
        <v>43</v>
      </c>
      <c r="B3">
        <v>45</v>
      </c>
    </row>
    <row r="4" spans="1:2">
      <c r="A4" t="s">
        <v>87</v>
      </c>
      <c r="B4">
        <v>55</v>
      </c>
    </row>
    <row r="5" spans="1:2">
      <c r="A5" t="s">
        <v>53</v>
      </c>
      <c r="B5">
        <v>70</v>
      </c>
    </row>
    <row r="6" spans="1:2">
      <c r="A6" t="s">
        <v>97</v>
      </c>
      <c r="B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Olivia Mohning</cp:lastModifiedBy>
  <cp:revision/>
  <dcterms:created xsi:type="dcterms:W3CDTF">2025-11-06T16:24:44Z</dcterms:created>
  <dcterms:modified xsi:type="dcterms:W3CDTF">2025-11-06T23:50:42Z</dcterms:modified>
  <cp:category/>
  <cp:contentStatus/>
</cp:coreProperties>
</file>